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70f26375009a1c8/Desktop/"/>
    </mc:Choice>
  </mc:AlternateContent>
  <xr:revisionPtr revIDLastSave="42" documentId="11_F25DC773A252ABDACC104857B1996B665ADE58EF" xr6:coauthVersionLast="47" xr6:coauthVersionMax="47" xr10:uidLastSave="{A9A490C2-A8D0-40D8-8701-4867EAA68BD6}"/>
  <bookViews>
    <workbookView xWindow="-108" yWindow="-108" windowWidth="23256" windowHeight="12456" xr2:uid="{00000000-000D-0000-FFFF-FFFF00000000}"/>
  </bookViews>
  <sheets>
    <sheet name="Current 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0" i="1" l="1"/>
  <c r="G99" i="1"/>
  <c r="H64" i="1"/>
  <c r="G54" i="1"/>
</calcChain>
</file>

<file path=xl/sharedStrings.xml><?xml version="1.0" encoding="utf-8"?>
<sst xmlns="http://schemas.openxmlformats.org/spreadsheetml/2006/main" count="978" uniqueCount="378">
  <si>
    <t>Plate number of Active</t>
  </si>
  <si>
    <t>Make</t>
  </si>
  <si>
    <t>Model</t>
  </si>
  <si>
    <t>Colour</t>
  </si>
  <si>
    <t>Name</t>
  </si>
  <si>
    <t>Per week Expected credits</t>
  </si>
  <si>
    <t>Received</t>
  </si>
  <si>
    <t>Days</t>
  </si>
  <si>
    <t>1WQ8LV</t>
  </si>
  <si>
    <t>KIA</t>
  </si>
  <si>
    <t>CARNIV</t>
  </si>
  <si>
    <t>WHI</t>
  </si>
  <si>
    <t>AVAILABLE</t>
  </si>
  <si>
    <t>NIL</t>
  </si>
  <si>
    <t>2BK9GZ</t>
  </si>
  <si>
    <t>BLU</t>
  </si>
  <si>
    <t>Balraj S Gill</t>
  </si>
  <si>
    <t>Wednesday</t>
  </si>
  <si>
    <t>2BW8CU</t>
  </si>
  <si>
    <t>Duc Anh le</t>
  </si>
  <si>
    <t>Monday</t>
  </si>
  <si>
    <t>2BW3WN</t>
  </si>
  <si>
    <t>Thanh T Nguyen</t>
  </si>
  <si>
    <t>Fix value</t>
  </si>
  <si>
    <t>1 date</t>
  </si>
  <si>
    <t>2BW3WO</t>
  </si>
  <si>
    <t>GRY</t>
  </si>
  <si>
    <t>Anon A D Maywin</t>
  </si>
  <si>
    <t>Saturday</t>
  </si>
  <si>
    <t>2BW3WP</t>
  </si>
  <si>
    <t>Divyang N Sorathiya</t>
  </si>
  <si>
    <t>2CB6KQ</t>
  </si>
  <si>
    <t>2BZ1ZB</t>
  </si>
  <si>
    <t>Friday</t>
  </si>
  <si>
    <t>2BZ1ZA</t>
  </si>
  <si>
    <t>Madit M Thomas</t>
  </si>
  <si>
    <t>Tuesday</t>
  </si>
  <si>
    <t>2BX8CW</t>
  </si>
  <si>
    <t>Salih I Iyay</t>
  </si>
  <si>
    <t>2CB6KP</t>
  </si>
  <si>
    <t>Panchol G Ayuol</t>
  </si>
  <si>
    <t>2BK9GY</t>
  </si>
  <si>
    <t>Dominic Y Giel</t>
  </si>
  <si>
    <t>1XE9XA</t>
  </si>
  <si>
    <t>Gurjinder Singh</t>
  </si>
  <si>
    <t>2CO7UU</t>
  </si>
  <si>
    <t>2CO7UT</t>
  </si>
  <si>
    <t>Mayen D V Upardit</t>
  </si>
  <si>
    <t>Thursday</t>
  </si>
  <si>
    <t>2CO7US</t>
  </si>
  <si>
    <t>SIL</t>
  </si>
  <si>
    <t>2CO7UV</t>
  </si>
  <si>
    <t>Makot A Wol</t>
  </si>
  <si>
    <t>2DH6DL</t>
  </si>
  <si>
    <t>GREY</t>
  </si>
  <si>
    <t>2DH6DM</t>
  </si>
  <si>
    <t>Hekma A Amiyo/Nuradin Osman</t>
  </si>
  <si>
    <t>2DG5VA</t>
  </si>
  <si>
    <t>2DG5UY</t>
  </si>
  <si>
    <t>Meriyem A Hussein</t>
  </si>
  <si>
    <t>2DG5UZ</t>
  </si>
  <si>
    <t>Angelo M M Kamiic</t>
  </si>
  <si>
    <t>2DG5VD</t>
  </si>
  <si>
    <t>Deng D Meen</t>
  </si>
  <si>
    <t>2DK6TD</t>
  </si>
  <si>
    <t>Khalid Ashac</t>
  </si>
  <si>
    <t>2DN2IQ</t>
  </si>
  <si>
    <t>2DN2IS</t>
  </si>
  <si>
    <t>2DN7YU</t>
  </si>
  <si>
    <t>ACCIDENTED</t>
  </si>
  <si>
    <t>2DN7YT</t>
  </si>
  <si>
    <t>Angelo M Anyang</t>
  </si>
  <si>
    <t>2DN2IR</t>
  </si>
  <si>
    <t>2DN2IL</t>
  </si>
  <si>
    <t>Mayen M Mayen</t>
  </si>
  <si>
    <t>2DX8UR</t>
  </si>
  <si>
    <t>John M Manyang</t>
  </si>
  <si>
    <t>2BH3KZ</t>
  </si>
  <si>
    <t>TOYOTA</t>
  </si>
  <si>
    <t>FORTUN</t>
  </si>
  <si>
    <t>BLK</t>
  </si>
  <si>
    <t>Rajvansh Singh</t>
  </si>
  <si>
    <t>2EM2JN</t>
  </si>
  <si>
    <t>Ahmed Yousif Mohamed</t>
  </si>
  <si>
    <t>2ER7FE</t>
  </si>
  <si>
    <t>AJAK KEER</t>
  </si>
  <si>
    <t>2ER7FD</t>
  </si>
  <si>
    <t xml:space="preserve">Abuk M A Atem </t>
  </si>
  <si>
    <t>2EM2JO</t>
  </si>
  <si>
    <t>BLUE</t>
  </si>
  <si>
    <t>Abraham Mawut</t>
  </si>
  <si>
    <t>2EM2JM</t>
  </si>
  <si>
    <t>2EM2JJ</t>
  </si>
  <si>
    <t xml:space="preserve">Abdurehim O Ibris Tluk </t>
  </si>
  <si>
    <t>2EM2JC</t>
  </si>
  <si>
    <t xml:space="preserve">Ater M M Zorgang </t>
  </si>
  <si>
    <t>2EM2JB</t>
  </si>
  <si>
    <t>Bakhit Abaker Hussain Asad</t>
  </si>
  <si>
    <t>2EI2EH</t>
  </si>
  <si>
    <t>CAMRY</t>
  </si>
  <si>
    <t>Abdiwali Ibrahim Ali</t>
  </si>
  <si>
    <t>2EI2EI</t>
  </si>
  <si>
    <t>Bashir Mohamed Mohamud</t>
  </si>
  <si>
    <t>2CR7RF</t>
  </si>
  <si>
    <t>Adbi G Dekebo</t>
  </si>
  <si>
    <t>2CR7RG</t>
  </si>
  <si>
    <t>2CR7RE</t>
  </si>
  <si>
    <t>Manyher Majok Derder</t>
  </si>
  <si>
    <t>2DW8BS</t>
  </si>
  <si>
    <t>John Madheng</t>
  </si>
  <si>
    <t>2CR7RD</t>
  </si>
  <si>
    <t>Mehfil Singh</t>
  </si>
  <si>
    <t>2CR7RH</t>
  </si>
  <si>
    <t>Haong H Nyugen</t>
  </si>
  <si>
    <t>CCF931</t>
  </si>
  <si>
    <t>2AU6PS</t>
  </si>
  <si>
    <t>Tong G Deng</t>
  </si>
  <si>
    <t>1XG4NG</t>
  </si>
  <si>
    <t>LDV</t>
  </si>
  <si>
    <t>D90</t>
  </si>
  <si>
    <t>Agnes Ale</t>
  </si>
  <si>
    <t>1XG5AU</t>
  </si>
  <si>
    <t>CXN779</t>
  </si>
  <si>
    <t>HAVAL</t>
  </si>
  <si>
    <t>JOLION</t>
  </si>
  <si>
    <t xml:space="preserve">David K Poundak </t>
  </si>
  <si>
    <t>2BL9DS</t>
  </si>
  <si>
    <t>Bagic M Majoak</t>
  </si>
  <si>
    <t>2BO5VU</t>
  </si>
  <si>
    <t>Akoi M Mabing - Abuk daughter</t>
  </si>
  <si>
    <t>2BV6HQ</t>
  </si>
  <si>
    <t>Fahad D Jelle</t>
  </si>
  <si>
    <t>2BV6HL</t>
  </si>
  <si>
    <t>Nor-eldin M Yassin</t>
  </si>
  <si>
    <t>2BR5PP</t>
  </si>
  <si>
    <t>Michelle K Ndunda</t>
  </si>
  <si>
    <t>2CE8VE</t>
  </si>
  <si>
    <t>Chetan Paruchuri</t>
  </si>
  <si>
    <t>2BV6HP</t>
  </si>
  <si>
    <t>Baharudin Ahmad Ibrahim</t>
  </si>
  <si>
    <t>2BV6HS</t>
  </si>
  <si>
    <t>2BV6HN</t>
  </si>
  <si>
    <t>Dadafo A Wariyo</t>
  </si>
  <si>
    <t>2BV6HO</t>
  </si>
  <si>
    <t>Osman Ibrahim</t>
  </si>
  <si>
    <t>2BV6HR</t>
  </si>
  <si>
    <t>Khalida Aduk</t>
  </si>
  <si>
    <t>2BV6HM</t>
  </si>
  <si>
    <t>Jaspreet Singh</t>
  </si>
  <si>
    <t>2BV6GW</t>
  </si>
  <si>
    <t>Manyok M Lual</t>
  </si>
  <si>
    <t>1XJ2AO</t>
  </si>
  <si>
    <t>GRN</t>
  </si>
  <si>
    <t>Rink Raja</t>
  </si>
  <si>
    <t>1YD1UJ</t>
  </si>
  <si>
    <t>Maria K Faamita</t>
  </si>
  <si>
    <t>2BL9DT</t>
  </si>
  <si>
    <t>H6</t>
  </si>
  <si>
    <t>Iqbal Singh</t>
  </si>
  <si>
    <t>2BV6GV</t>
  </si>
  <si>
    <t>Raj K Leel</t>
  </si>
  <si>
    <t>2BX7SK</t>
  </si>
  <si>
    <t>Joseph D Makaram</t>
  </si>
  <si>
    <t>2BX7SN</t>
  </si>
  <si>
    <t>Makol M Mukuei</t>
  </si>
  <si>
    <t>2BX7SM</t>
  </si>
  <si>
    <t>Ahmed Hajole</t>
  </si>
  <si>
    <t>2BX7SL</t>
  </si>
  <si>
    <t>Akash S Swardekar</t>
  </si>
  <si>
    <t>Sunday</t>
  </si>
  <si>
    <t>2BA8JF</t>
  </si>
  <si>
    <t>STONIC</t>
  </si>
  <si>
    <t>YLW</t>
  </si>
  <si>
    <t>Rohan Taneja</t>
  </si>
  <si>
    <t>1XJ1WL</t>
  </si>
  <si>
    <t>RIO</t>
  </si>
  <si>
    <t>Shweta Armani</t>
  </si>
  <si>
    <t>1XS9BW</t>
  </si>
  <si>
    <t>DC UTE/T60</t>
  </si>
  <si>
    <t xml:space="preserve">Lino m tanuvasa </t>
  </si>
  <si>
    <t>1ZP4DJ</t>
  </si>
  <si>
    <t>L ROV</t>
  </si>
  <si>
    <t>DISCOV</t>
  </si>
  <si>
    <t>2CH1MD</t>
  </si>
  <si>
    <t>HONDA</t>
  </si>
  <si>
    <t>CITY</t>
  </si>
  <si>
    <t>Pavan Kaudare</t>
  </si>
  <si>
    <t>BBO590</t>
  </si>
  <si>
    <t>LEXUS</t>
  </si>
  <si>
    <t>ES300H</t>
  </si>
  <si>
    <t>Anastacia Gouros/BILL</t>
  </si>
  <si>
    <t>DHC138</t>
  </si>
  <si>
    <t>Manroop Singh</t>
  </si>
  <si>
    <t>DZK262</t>
  </si>
  <si>
    <t>Mandeep Tanda</t>
  </si>
  <si>
    <t>DHZ480</t>
  </si>
  <si>
    <t>Rachit Dhiman</t>
  </si>
  <si>
    <t>DIT729</t>
  </si>
  <si>
    <t>BMW</t>
  </si>
  <si>
    <t>M SERIES</t>
  </si>
  <si>
    <t>Chol J Majok Pach</t>
  </si>
  <si>
    <t>DTQ530</t>
  </si>
  <si>
    <t>1PU1ZG</t>
  </si>
  <si>
    <t>HYNDAI</t>
  </si>
  <si>
    <t>I20</t>
  </si>
  <si>
    <t>RED</t>
  </si>
  <si>
    <t>Celine</t>
  </si>
  <si>
    <t>1XM4FN</t>
  </si>
  <si>
    <t>Sukhraj Sahi</t>
  </si>
  <si>
    <t>2BH3JE</t>
  </si>
  <si>
    <t>KLUGER</t>
  </si>
  <si>
    <t>Kamaledeen Haron</t>
  </si>
  <si>
    <t>YZW904</t>
  </si>
  <si>
    <t>NISSAN</t>
  </si>
  <si>
    <t>MICRA</t>
  </si>
  <si>
    <t>Aukuso Doris Susan</t>
  </si>
  <si>
    <t>ZHU773</t>
  </si>
  <si>
    <t>ORG</t>
  </si>
  <si>
    <t>Aukuso Taulaga</t>
  </si>
  <si>
    <t>WFW527</t>
  </si>
  <si>
    <t>1CJ2FX</t>
  </si>
  <si>
    <t>MITSUB</t>
  </si>
  <si>
    <t>MIRAGE</t>
  </si>
  <si>
    <t>2BQ4ZY</t>
  </si>
  <si>
    <t>SERENA</t>
  </si>
  <si>
    <t>1RI1XL</t>
  </si>
  <si>
    <t>OUTLAN</t>
  </si>
  <si>
    <t>Achieng D Gurec</t>
  </si>
  <si>
    <t>2AI9XE</t>
  </si>
  <si>
    <t>VOLKS</t>
  </si>
  <si>
    <t>POLO</t>
  </si>
  <si>
    <t>Jaswant Singh</t>
  </si>
  <si>
    <t>1TL4YZ</t>
  </si>
  <si>
    <t>XTRAIL</t>
  </si>
  <si>
    <t>Deng Muor Muor</t>
  </si>
  <si>
    <t>2BL9BQ</t>
  </si>
  <si>
    <t>TRITON</t>
  </si>
  <si>
    <t>Luke Charles</t>
  </si>
  <si>
    <t>2BQ5FB</t>
  </si>
  <si>
    <t>Ali Mansuri</t>
  </si>
  <si>
    <t>1HH9AL</t>
  </si>
  <si>
    <t>COROLL</t>
  </si>
  <si>
    <t>Amogh Kale</t>
  </si>
  <si>
    <t>1WR9VY</t>
  </si>
  <si>
    <t>YARIS</t>
  </si>
  <si>
    <t>Harshavardhan R Rikkala</t>
  </si>
  <si>
    <t>1XJ1WD</t>
  </si>
  <si>
    <t>CHERY</t>
  </si>
  <si>
    <t>OMODA5</t>
  </si>
  <si>
    <t>1XE9WO</t>
  </si>
  <si>
    <t>2CJ5ZH</t>
  </si>
  <si>
    <t>RAV</t>
  </si>
  <si>
    <t>Harpreet Singh</t>
  </si>
  <si>
    <t>2CA3YN</t>
  </si>
  <si>
    <t>Liban Hassan</t>
  </si>
  <si>
    <t>2CB6KR</t>
  </si>
  <si>
    <t>MAHIND</t>
  </si>
  <si>
    <t>XUV700</t>
  </si>
  <si>
    <t>1WT5CK</t>
  </si>
  <si>
    <t>Ajit Rattu Des Raj</t>
  </si>
  <si>
    <t>1XW4IV</t>
  </si>
  <si>
    <t>SELTOS</t>
  </si>
  <si>
    <t>Nikhil</t>
  </si>
  <si>
    <t>1XE9WN</t>
  </si>
  <si>
    <t>SUZUKI</t>
  </si>
  <si>
    <t>SWIFT</t>
  </si>
  <si>
    <t>1EJ6SC</t>
  </si>
  <si>
    <t>ALTO</t>
  </si>
  <si>
    <t>2CO6PT</t>
  </si>
  <si>
    <t>MAR</t>
  </si>
  <si>
    <t>2DS7BG</t>
  </si>
  <si>
    <t>WAGON</t>
  </si>
  <si>
    <t>1PY5TL</t>
  </si>
  <si>
    <t>ELANTR</t>
  </si>
  <si>
    <t>Hemang Jain</t>
  </si>
  <si>
    <t>2BV6GU</t>
  </si>
  <si>
    <t>G WALL</t>
  </si>
  <si>
    <t>CANNON</t>
  </si>
  <si>
    <t>CWA104</t>
  </si>
  <si>
    <t>Steven Wilson/Alysha M Kapac</t>
  </si>
  <si>
    <t>2BB9GZ</t>
  </si>
  <si>
    <t>Piara Singh</t>
  </si>
  <si>
    <t>1VZ4RP</t>
  </si>
  <si>
    <t>VAN</t>
  </si>
  <si>
    <t>Prashant Chawla</t>
  </si>
  <si>
    <t>1 day</t>
  </si>
  <si>
    <t>1XS9BJ</t>
  </si>
  <si>
    <t>DELIVE</t>
  </si>
  <si>
    <t>1XE9WP</t>
  </si>
  <si>
    <t>1UO5AW</t>
  </si>
  <si>
    <t>Gurjit Kaur</t>
  </si>
  <si>
    <t>2DI2QB</t>
  </si>
  <si>
    <t>TIGGO 4</t>
  </si>
  <si>
    <t>Dimpho Mony Amane</t>
  </si>
  <si>
    <t>2DI2PZ</t>
  </si>
  <si>
    <t>Madol C D</t>
  </si>
  <si>
    <t>2DI2QA</t>
  </si>
  <si>
    <t>Mary A Abraham Wech</t>
  </si>
  <si>
    <t>2DK6TP</t>
  </si>
  <si>
    <t>TIGGO 8</t>
  </si>
  <si>
    <t>Malok M Mayuom</t>
  </si>
  <si>
    <t>2DK6TQ</t>
  </si>
  <si>
    <t>Nicolas Marker</t>
  </si>
  <si>
    <t>2DH6DN</t>
  </si>
  <si>
    <t>Koshin R Hassan</t>
  </si>
  <si>
    <t>2DN7YS</t>
  </si>
  <si>
    <t>Maytham M Kareem</t>
  </si>
  <si>
    <t>2ER7FC</t>
  </si>
  <si>
    <t>Luc V Thai</t>
  </si>
  <si>
    <t>2EM2JI</t>
  </si>
  <si>
    <t>TIGGO 7</t>
  </si>
  <si>
    <t>2DX8US</t>
  </si>
  <si>
    <t>Malual Malok</t>
  </si>
  <si>
    <t>2EO3CQ</t>
  </si>
  <si>
    <t>GREAT WALL</t>
  </si>
  <si>
    <t>CREAM</t>
  </si>
  <si>
    <t>Nabil Adam</t>
  </si>
  <si>
    <t>2EO3CR</t>
  </si>
  <si>
    <t>Nouman Ikram</t>
  </si>
  <si>
    <t>2EO3CS</t>
  </si>
  <si>
    <t>Eliza Magol</t>
  </si>
  <si>
    <t>2EO3CT</t>
  </si>
  <si>
    <t>Nyok A A Alor</t>
  </si>
  <si>
    <t>2DI8CE</t>
  </si>
  <si>
    <t>UTIL</t>
  </si>
  <si>
    <t>2DI8CF</t>
  </si>
  <si>
    <t>Jacques S Fender</t>
  </si>
  <si>
    <t>2DI8CG</t>
  </si>
  <si>
    <t>GREAT WALL/HAVAL</t>
  </si>
  <si>
    <t>2DI8FI</t>
  </si>
  <si>
    <t>Amir Y Adem</t>
  </si>
  <si>
    <t>2DJ7KV</t>
  </si>
  <si>
    <t>Yolanda Franklin/BILL</t>
  </si>
  <si>
    <t>1WW4JG</t>
  </si>
  <si>
    <t>Rahul Kamboj</t>
  </si>
  <si>
    <t>1GS7IB</t>
  </si>
  <si>
    <t>Naga V S Eranki</t>
  </si>
  <si>
    <t>2DM8FM</t>
  </si>
  <si>
    <t>SUBARU</t>
  </si>
  <si>
    <t>XV</t>
  </si>
  <si>
    <t>Kristina M Isaia</t>
  </si>
  <si>
    <t>2EG5NU</t>
  </si>
  <si>
    <t>1YT4OQ</t>
  </si>
  <si>
    <t>Laat Mathiang</t>
  </si>
  <si>
    <t>CDH145</t>
  </si>
  <si>
    <t>MERCEDES</t>
  </si>
  <si>
    <t>Ishvinder Singh</t>
  </si>
  <si>
    <t>2DT5PT</t>
  </si>
  <si>
    <t>E350</t>
  </si>
  <si>
    <t>Kaan Ozongan</t>
  </si>
  <si>
    <t>2CO4RZ</t>
  </si>
  <si>
    <t>Abdirahman Sheikh Mohamed</t>
  </si>
  <si>
    <t>2AN7RR</t>
  </si>
  <si>
    <t>2EK5QK</t>
  </si>
  <si>
    <t>1JH4LF</t>
  </si>
  <si>
    <t>Rajat's Car</t>
  </si>
  <si>
    <t>Vacant</t>
  </si>
  <si>
    <t>TOTAL</t>
  </si>
  <si>
    <t>1YJ6XJ</t>
  </si>
  <si>
    <t>Khatija Possum</t>
  </si>
  <si>
    <t>1XX9BX</t>
  </si>
  <si>
    <t>Rajat Tulani</t>
  </si>
  <si>
    <t>Pending</t>
  </si>
  <si>
    <t>Clear</t>
  </si>
  <si>
    <t>Matoch Gak</t>
  </si>
  <si>
    <t>Manyang Koch</t>
  </si>
  <si>
    <t>1QI3UK</t>
  </si>
  <si>
    <t>Arslan Ahmed</t>
  </si>
  <si>
    <t>4 days</t>
  </si>
  <si>
    <t>Mohammad Namani</t>
  </si>
  <si>
    <t>AMAN BHASIN</t>
  </si>
  <si>
    <t>Asha Rani</t>
  </si>
  <si>
    <t>Sandeep Kumar</t>
  </si>
  <si>
    <t>2 days</t>
  </si>
  <si>
    <t>Joseph F B Bulabek</t>
  </si>
  <si>
    <t>Clifton A Schuster</t>
  </si>
  <si>
    <t>Yousif Mohamed</t>
  </si>
  <si>
    <t xml:space="preserve">Car is with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</si>
</sst>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423671"/>
      <name val="Calibri"/>
      <family val="2"/>
    </font>
    <font>
      <sz val="11"/>
      <color rgb="FF3E4186"/>
      <name val="Calibri"/>
      <family val="2"/>
    </font>
    <font>
      <sz val="11"/>
      <color rgb="FF3A2C70"/>
      <name val="Calibri"/>
      <family val="2"/>
    </font>
    <font>
      <sz val="11"/>
      <color rgb="FF3A3D80"/>
      <name val="Calibri"/>
      <family val="2"/>
    </font>
    <font>
      <sz val="11"/>
      <color rgb="FF254495"/>
      <name val="Calibri"/>
      <family val="2"/>
    </font>
    <font>
      <sz val="11"/>
      <color rgb="FF433D84"/>
      <name val="Calibri"/>
      <family val="2"/>
    </font>
    <font>
      <sz val="11"/>
      <color rgb="FF4B3C74"/>
      <name val="Calibri"/>
      <family val="2"/>
    </font>
    <font>
      <sz val="11"/>
      <color rgb="FF523157"/>
      <name val="Calibri"/>
      <family val="2"/>
    </font>
    <font>
      <sz val="11"/>
      <color rgb="FF363871"/>
      <name val="Calibri"/>
      <family val="2"/>
    </font>
    <font>
      <sz val="11"/>
      <name val="Calibri"/>
      <family val="2"/>
    </font>
    <font>
      <sz val="10"/>
      <color rgb="FF433D84"/>
      <name val="Arial"/>
      <family val="2"/>
    </font>
    <font>
      <sz val="10"/>
      <color rgb="FF523157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3" borderId="2" xfId="0" applyFont="1" applyFill="1" applyBorder="1"/>
    <xf numFmtId="44" fontId="2" fillId="5" borderId="3" xfId="1" applyFont="1" applyFill="1" applyBorder="1"/>
    <xf numFmtId="0" fontId="2" fillId="6" borderId="4" xfId="0" applyFont="1" applyFill="1" applyBorder="1"/>
    <xf numFmtId="0" fontId="2" fillId="5" borderId="5" xfId="0" applyFont="1" applyFill="1" applyBorder="1"/>
    <xf numFmtId="0" fontId="3" fillId="5" borderId="6" xfId="0" applyFont="1" applyFill="1" applyBorder="1"/>
    <xf numFmtId="0" fontId="3" fillId="0" borderId="6" xfId="0" applyFont="1" applyBorder="1"/>
    <xf numFmtId="0" fontId="4" fillId="0" borderId="6" xfId="0" applyFont="1" applyBorder="1"/>
    <xf numFmtId="44" fontId="4" fillId="0" borderId="6" xfId="1" applyFont="1" applyBorder="1" applyAlignment="1">
      <alignment horizontal="right"/>
    </xf>
    <xf numFmtId="44" fontId="5" fillId="0" borderId="7" xfId="1" applyFont="1" applyBorder="1"/>
    <xf numFmtId="0" fontId="4" fillId="0" borderId="8" xfId="0" applyFont="1" applyBorder="1"/>
    <xf numFmtId="0" fontId="2" fillId="6" borderId="5" xfId="0" applyFont="1" applyFill="1" applyBorder="1"/>
    <xf numFmtId="44" fontId="3" fillId="0" borderId="6" xfId="1" applyFont="1" applyBorder="1" applyAlignment="1">
      <alignment horizontal="right"/>
    </xf>
    <xf numFmtId="44" fontId="2" fillId="0" borderId="7" xfId="1" applyFont="1" applyBorder="1" applyAlignment="1">
      <alignment horizontal="right"/>
    </xf>
    <xf numFmtId="0" fontId="6" fillId="0" borderId="8" xfId="0" applyFont="1" applyBorder="1"/>
    <xf numFmtId="0" fontId="7" fillId="0" borderId="8" xfId="0" applyFont="1" applyBorder="1"/>
    <xf numFmtId="0" fontId="2" fillId="0" borderId="6" xfId="0" applyFont="1" applyBorder="1"/>
    <xf numFmtId="0" fontId="8" fillId="0" borderId="8" xfId="0" applyFont="1" applyBorder="1"/>
    <xf numFmtId="0" fontId="9" fillId="0" borderId="8" xfId="0" applyFont="1" applyBorder="1"/>
    <xf numFmtId="0" fontId="2" fillId="7" borderId="5" xfId="0" applyFont="1" applyFill="1" applyBorder="1"/>
    <xf numFmtId="44" fontId="5" fillId="0" borderId="7" xfId="1" applyFont="1" applyBorder="1" applyAlignment="1">
      <alignment horizontal="right"/>
    </xf>
    <xf numFmtId="0" fontId="3" fillId="8" borderId="6" xfId="0" applyFont="1" applyFill="1" applyBorder="1"/>
    <xf numFmtId="0" fontId="10" fillId="0" borderId="8" xfId="0" applyFont="1" applyBorder="1"/>
    <xf numFmtId="0" fontId="11" fillId="0" borderId="8" xfId="0" applyFont="1" applyBorder="1"/>
    <xf numFmtId="0" fontId="2" fillId="9" borderId="5" xfId="0" applyFont="1" applyFill="1" applyBorder="1"/>
    <xf numFmtId="0" fontId="12" fillId="0" borderId="8" xfId="0" applyFont="1" applyBorder="1"/>
    <xf numFmtId="0" fontId="13" fillId="0" borderId="8" xfId="0" applyFont="1" applyBorder="1"/>
    <xf numFmtId="0" fontId="2" fillId="10" borderId="5" xfId="0" applyFont="1" applyFill="1" applyBorder="1"/>
    <xf numFmtId="0" fontId="4" fillId="6" borderId="5" xfId="0" applyFont="1" applyFill="1" applyBorder="1"/>
    <xf numFmtId="0" fontId="4" fillId="8" borderId="6" xfId="0" applyFont="1" applyFill="1" applyBorder="1"/>
    <xf numFmtId="0" fontId="14" fillId="0" borderId="8" xfId="0" applyFont="1" applyBorder="1"/>
    <xf numFmtId="0" fontId="2" fillId="11" borderId="5" xfId="0" applyFont="1" applyFill="1" applyBorder="1"/>
    <xf numFmtId="0" fontId="15" fillId="5" borderId="6" xfId="0" applyFont="1" applyFill="1" applyBorder="1"/>
    <xf numFmtId="0" fontId="4" fillId="0" borderId="11" xfId="0" applyFont="1" applyBorder="1"/>
    <xf numFmtId="0" fontId="4" fillId="0" borderId="10" xfId="0" applyFont="1" applyBorder="1"/>
    <xf numFmtId="0" fontId="5" fillId="0" borderId="6" xfId="0" applyFont="1" applyBorder="1"/>
    <xf numFmtId="0" fontId="5" fillId="9" borderId="5" xfId="0" applyFont="1" applyFill="1" applyBorder="1"/>
    <xf numFmtId="0" fontId="5" fillId="5" borderId="6" xfId="0" applyFont="1" applyFill="1" applyBorder="1"/>
    <xf numFmtId="0" fontId="16" fillId="0" borderId="8" xfId="0" applyFont="1" applyBorder="1"/>
    <xf numFmtId="0" fontId="4" fillId="0" borderId="12" xfId="0" applyFont="1" applyBorder="1"/>
    <xf numFmtId="0" fontId="2" fillId="5" borderId="8" xfId="0" applyFont="1" applyFill="1" applyBorder="1"/>
    <xf numFmtId="0" fontId="3" fillId="0" borderId="8" xfId="0" applyFont="1" applyBorder="1"/>
    <xf numFmtId="44" fontId="5" fillId="0" borderId="8" xfId="1" applyFont="1" applyBorder="1"/>
    <xf numFmtId="0" fontId="5" fillId="0" borderId="10" xfId="0" applyFont="1" applyBorder="1"/>
    <xf numFmtId="44" fontId="5" fillId="12" borderId="8" xfId="1" applyFont="1" applyFill="1" applyBorder="1" applyAlignment="1">
      <alignment horizontal="right"/>
    </xf>
    <xf numFmtId="44" fontId="5" fillId="0" borderId="8" xfId="1" applyFont="1" applyBorder="1" applyAlignment="1">
      <alignment horizontal="right"/>
    </xf>
    <xf numFmtId="0" fontId="17" fillId="0" borderId="8" xfId="0" applyFont="1" applyBorder="1"/>
    <xf numFmtId="0" fontId="3" fillId="6" borderId="6" xfId="0" applyFont="1" applyFill="1" applyBorder="1"/>
    <xf numFmtId="164" fontId="2" fillId="4" borderId="2" xfId="1" applyNumberFormat="1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164" fontId="4" fillId="0" borderId="6" xfId="1" applyNumberFormat="1" applyFont="1" applyBorder="1" applyAlignment="1">
      <alignment horizontal="right"/>
    </xf>
    <xf numFmtId="164" fontId="3" fillId="0" borderId="6" xfId="1" applyNumberFormat="1" applyFont="1" applyBorder="1" applyAlignment="1">
      <alignment horizontal="right"/>
    </xf>
    <xf numFmtId="44" fontId="3" fillId="8" borderId="6" xfId="1" applyFont="1" applyFill="1" applyBorder="1" applyAlignment="1">
      <alignment horizontal="right"/>
    </xf>
    <xf numFmtId="164" fontId="2" fillId="0" borderId="6" xfId="1" applyNumberFormat="1" applyFont="1" applyBorder="1" applyAlignment="1">
      <alignment horizontal="right"/>
    </xf>
    <xf numFmtId="0" fontId="2" fillId="13" borderId="5" xfId="0" applyFont="1" applyFill="1" applyBorder="1"/>
    <xf numFmtId="164" fontId="4" fillId="0" borderId="6" xfId="1" applyNumberFormat="1" applyFont="1" applyBorder="1"/>
    <xf numFmtId="44" fontId="4" fillId="8" borderId="6" xfId="1" applyFont="1" applyFill="1" applyBorder="1" applyAlignment="1">
      <alignment horizontal="right"/>
    </xf>
    <xf numFmtId="0" fontId="2" fillId="5" borderId="9" xfId="0" applyFont="1" applyFill="1" applyBorder="1"/>
    <xf numFmtId="44" fontId="3" fillId="0" borderId="10" xfId="1" applyFont="1" applyBorder="1" applyAlignment="1">
      <alignment horizontal="right"/>
    </xf>
    <xf numFmtId="164" fontId="4" fillId="0" borderId="10" xfId="1" applyNumberFormat="1" applyFont="1" applyBorder="1"/>
    <xf numFmtId="164" fontId="4" fillId="0" borderId="8" xfId="1" applyNumberFormat="1" applyFont="1" applyBorder="1"/>
    <xf numFmtId="44" fontId="4" fillId="0" borderId="8" xfId="1" applyFont="1" applyBorder="1" applyAlignment="1">
      <alignment horizontal="right"/>
    </xf>
    <xf numFmtId="164" fontId="5" fillId="0" borderId="10" xfId="1" applyNumberFormat="1" applyFont="1" applyBorder="1" applyAlignment="1">
      <alignment horizontal="right"/>
    </xf>
    <xf numFmtId="44" fontId="4" fillId="0" borderId="10" xfId="1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"/>
  <sheetViews>
    <sheetView tabSelected="1" topLeftCell="A149" workbookViewId="0">
      <selection activeCell="F12" sqref="F12"/>
    </sheetView>
  </sheetViews>
  <sheetFormatPr defaultRowHeight="14.4" x14ac:dyDescent="0.3"/>
  <cols>
    <col min="2" max="2" width="10.5546875" customWidth="1"/>
    <col min="5" max="5" width="27.5546875" bestFit="1" customWidth="1"/>
    <col min="6" max="6" width="24.44140625" bestFit="1" customWidth="1"/>
    <col min="7" max="7" width="19.33203125" customWidth="1"/>
    <col min="8" max="8" width="25.109375" customWidth="1"/>
  </cols>
  <sheetData>
    <row r="1" spans="1: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0" t="s">
        <v>5</v>
      </c>
      <c r="G1" s="51" t="s">
        <v>362</v>
      </c>
      <c r="H1" s="4" t="s">
        <v>6</v>
      </c>
      <c r="I1" s="5" t="s">
        <v>7</v>
      </c>
    </row>
    <row r="2" spans="1:9" ht="15" thickBot="1" x14ac:dyDescent="0.35">
      <c r="A2" s="21" t="s">
        <v>8</v>
      </c>
      <c r="B2" s="7" t="s">
        <v>9</v>
      </c>
      <c r="C2" s="8" t="s">
        <v>10</v>
      </c>
      <c r="D2" s="8" t="s">
        <v>11</v>
      </c>
      <c r="E2" s="9" t="s">
        <v>30</v>
      </c>
      <c r="F2" s="52">
        <v>450</v>
      </c>
      <c r="G2" s="10">
        <v>450</v>
      </c>
      <c r="H2" s="11"/>
      <c r="I2" s="12" t="s">
        <v>13</v>
      </c>
    </row>
    <row r="3" spans="1:9" ht="15" thickBot="1" x14ac:dyDescent="0.35">
      <c r="A3" s="13" t="s">
        <v>14</v>
      </c>
      <c r="B3" s="7" t="s">
        <v>9</v>
      </c>
      <c r="C3" s="8" t="s">
        <v>10</v>
      </c>
      <c r="D3" s="8" t="s">
        <v>15</v>
      </c>
      <c r="E3" s="9" t="s">
        <v>16</v>
      </c>
      <c r="F3" s="53">
        <v>430</v>
      </c>
      <c r="G3" s="14" t="s">
        <v>363</v>
      </c>
      <c r="H3" s="15">
        <v>430</v>
      </c>
      <c r="I3" s="16" t="s">
        <v>17</v>
      </c>
    </row>
    <row r="4" spans="1:9" ht="15" thickBot="1" x14ac:dyDescent="0.35">
      <c r="A4" s="13" t="s">
        <v>18</v>
      </c>
      <c r="B4" s="7" t="s">
        <v>9</v>
      </c>
      <c r="C4" s="8" t="s">
        <v>10</v>
      </c>
      <c r="D4" s="8" t="s">
        <v>11</v>
      </c>
      <c r="E4" s="8" t="s">
        <v>19</v>
      </c>
      <c r="F4" s="53">
        <v>490</v>
      </c>
      <c r="G4" s="14">
        <v>980</v>
      </c>
      <c r="H4" s="15"/>
      <c r="I4" s="17" t="s">
        <v>20</v>
      </c>
    </row>
    <row r="5" spans="1:9" ht="15" thickBot="1" x14ac:dyDescent="0.35">
      <c r="A5" s="13" t="s">
        <v>21</v>
      </c>
      <c r="B5" s="7" t="s">
        <v>9</v>
      </c>
      <c r="C5" s="8" t="s">
        <v>10</v>
      </c>
      <c r="D5" s="8" t="s">
        <v>11</v>
      </c>
      <c r="E5" s="18" t="s">
        <v>22</v>
      </c>
      <c r="F5" s="53" t="s">
        <v>23</v>
      </c>
      <c r="G5" s="14"/>
      <c r="H5" s="15"/>
      <c r="I5" s="19" t="s">
        <v>24</v>
      </c>
    </row>
    <row r="6" spans="1:9" ht="15" thickBot="1" x14ac:dyDescent="0.35">
      <c r="A6" s="13" t="s">
        <v>25</v>
      </c>
      <c r="B6" s="7" t="s">
        <v>9</v>
      </c>
      <c r="C6" s="8" t="s">
        <v>10</v>
      </c>
      <c r="D6" s="8" t="s">
        <v>26</v>
      </c>
      <c r="E6" s="8" t="s">
        <v>27</v>
      </c>
      <c r="F6" s="53">
        <v>430</v>
      </c>
      <c r="G6" s="14" t="s">
        <v>363</v>
      </c>
      <c r="H6" s="15">
        <v>430</v>
      </c>
      <c r="I6" s="20" t="s">
        <v>28</v>
      </c>
    </row>
    <row r="7" spans="1:9" ht="15" thickBot="1" x14ac:dyDescent="0.35">
      <c r="A7" s="21" t="s">
        <v>29</v>
      </c>
      <c r="B7" s="7" t="s">
        <v>9</v>
      </c>
      <c r="C7" s="8" t="s">
        <v>10</v>
      </c>
      <c r="D7" s="8" t="s">
        <v>26</v>
      </c>
      <c r="E7" s="8" t="s">
        <v>30</v>
      </c>
      <c r="F7" s="52">
        <v>450</v>
      </c>
      <c r="G7" s="14">
        <v>450</v>
      </c>
      <c r="H7" s="15"/>
      <c r="I7" s="12" t="s">
        <v>17</v>
      </c>
    </row>
    <row r="8" spans="1:9" ht="15" thickBot="1" x14ac:dyDescent="0.35">
      <c r="A8" s="6" t="s">
        <v>31</v>
      </c>
      <c r="B8" s="7" t="s">
        <v>9</v>
      </c>
      <c r="C8" s="8" t="s">
        <v>10</v>
      </c>
      <c r="D8" s="8" t="s">
        <v>26</v>
      </c>
      <c r="E8" s="8"/>
      <c r="F8" s="52" t="s">
        <v>12</v>
      </c>
      <c r="G8" s="14"/>
      <c r="H8" s="15"/>
      <c r="I8" s="12" t="s">
        <v>13</v>
      </c>
    </row>
    <row r="9" spans="1:9" ht="15" thickBot="1" x14ac:dyDescent="0.35">
      <c r="A9" s="13" t="s">
        <v>32</v>
      </c>
      <c r="B9" s="7" t="s">
        <v>9</v>
      </c>
      <c r="C9" s="8" t="s">
        <v>10</v>
      </c>
      <c r="D9" s="8" t="s">
        <v>26</v>
      </c>
      <c r="E9" s="8" t="s">
        <v>30</v>
      </c>
      <c r="F9" s="53">
        <v>450</v>
      </c>
      <c r="G9" s="14">
        <v>450</v>
      </c>
      <c r="H9" s="15"/>
      <c r="I9" s="16" t="s">
        <v>33</v>
      </c>
    </row>
    <row r="10" spans="1:9" ht="15" thickBot="1" x14ac:dyDescent="0.35">
      <c r="A10" s="13" t="s">
        <v>34</v>
      </c>
      <c r="B10" s="7" t="s">
        <v>9</v>
      </c>
      <c r="C10" s="8" t="s">
        <v>10</v>
      </c>
      <c r="D10" s="8" t="s">
        <v>26</v>
      </c>
      <c r="E10" s="8" t="s">
        <v>35</v>
      </c>
      <c r="F10" s="53">
        <v>440</v>
      </c>
      <c r="G10" s="14">
        <v>440</v>
      </c>
      <c r="H10" s="15">
        <v>440</v>
      </c>
      <c r="I10" s="16" t="s">
        <v>36</v>
      </c>
    </row>
    <row r="11" spans="1:9" ht="15" thickBot="1" x14ac:dyDescent="0.35">
      <c r="A11" s="13" t="s">
        <v>37</v>
      </c>
      <c r="B11" s="7" t="s">
        <v>9</v>
      </c>
      <c r="C11" s="8" t="s">
        <v>10</v>
      </c>
      <c r="D11" s="8" t="s">
        <v>11</v>
      </c>
      <c r="E11" s="8" t="s">
        <v>38</v>
      </c>
      <c r="F11" s="53">
        <v>430</v>
      </c>
      <c r="G11" s="14" t="s">
        <v>363</v>
      </c>
      <c r="H11" s="15">
        <v>430</v>
      </c>
      <c r="I11" s="17" t="s">
        <v>20</v>
      </c>
    </row>
    <row r="12" spans="1:9" ht="15" thickBot="1" x14ac:dyDescent="0.35">
      <c r="A12" s="13" t="s">
        <v>39</v>
      </c>
      <c r="B12" s="7" t="s">
        <v>9</v>
      </c>
      <c r="C12" s="8" t="s">
        <v>10</v>
      </c>
      <c r="D12" s="8" t="s">
        <v>11</v>
      </c>
      <c r="E12" s="8" t="s">
        <v>40</v>
      </c>
      <c r="F12" s="53">
        <v>450</v>
      </c>
      <c r="G12" s="14">
        <v>4300</v>
      </c>
      <c r="H12" s="22">
        <v>450</v>
      </c>
      <c r="I12" s="16" t="s">
        <v>36</v>
      </c>
    </row>
    <row r="13" spans="1:9" ht="15" thickBot="1" x14ac:dyDescent="0.35">
      <c r="A13" s="13" t="s">
        <v>41</v>
      </c>
      <c r="B13" s="7" t="s">
        <v>9</v>
      </c>
      <c r="C13" s="8" t="s">
        <v>10</v>
      </c>
      <c r="D13" s="8" t="s">
        <v>11</v>
      </c>
      <c r="E13" s="8" t="s">
        <v>42</v>
      </c>
      <c r="F13" s="53">
        <v>420</v>
      </c>
      <c r="G13" s="14">
        <v>2130</v>
      </c>
      <c r="H13" s="11">
        <v>420</v>
      </c>
      <c r="I13" s="16" t="s">
        <v>36</v>
      </c>
    </row>
    <row r="14" spans="1:9" ht="15" thickBot="1" x14ac:dyDescent="0.35">
      <c r="A14" s="13" t="s">
        <v>43</v>
      </c>
      <c r="B14" s="7" t="s">
        <v>9</v>
      </c>
      <c r="C14" s="23" t="s">
        <v>10</v>
      </c>
      <c r="D14" s="23" t="s">
        <v>26</v>
      </c>
      <c r="E14" s="8" t="s">
        <v>44</v>
      </c>
      <c r="F14" s="53">
        <v>400</v>
      </c>
      <c r="G14" s="54">
        <v>1600</v>
      </c>
      <c r="H14" s="15">
        <v>400</v>
      </c>
      <c r="I14" s="17" t="s">
        <v>20</v>
      </c>
    </row>
    <row r="15" spans="1:9" ht="15" thickBot="1" x14ac:dyDescent="0.35">
      <c r="A15" s="6" t="s">
        <v>45</v>
      </c>
      <c r="B15" s="7" t="s">
        <v>9</v>
      </c>
      <c r="C15" s="23" t="s">
        <v>10</v>
      </c>
      <c r="D15" s="8" t="s">
        <v>11</v>
      </c>
      <c r="E15" s="9"/>
      <c r="F15" s="52" t="s">
        <v>12</v>
      </c>
      <c r="G15" s="10"/>
      <c r="H15" s="11"/>
      <c r="I15" s="12" t="s">
        <v>13</v>
      </c>
    </row>
    <row r="16" spans="1:9" ht="15" thickBot="1" x14ac:dyDescent="0.35">
      <c r="A16" s="13" t="s">
        <v>46</v>
      </c>
      <c r="B16" s="7" t="s">
        <v>9</v>
      </c>
      <c r="C16" s="23" t="s">
        <v>10</v>
      </c>
      <c r="D16" s="23" t="s">
        <v>15</v>
      </c>
      <c r="E16" s="8" t="s">
        <v>47</v>
      </c>
      <c r="F16" s="53">
        <v>430</v>
      </c>
      <c r="G16" s="14">
        <v>920</v>
      </c>
      <c r="H16" s="15"/>
      <c r="I16" s="24" t="s">
        <v>48</v>
      </c>
    </row>
    <row r="17" spans="1:9" ht="15" thickBot="1" x14ac:dyDescent="0.35">
      <c r="A17" s="6" t="s">
        <v>49</v>
      </c>
      <c r="B17" s="7" t="s">
        <v>9</v>
      </c>
      <c r="C17" s="8" t="s">
        <v>10</v>
      </c>
      <c r="D17" s="8" t="s">
        <v>50</v>
      </c>
      <c r="E17" s="8"/>
      <c r="F17" s="53" t="s">
        <v>12</v>
      </c>
      <c r="G17" s="14">
        <v>1840</v>
      </c>
      <c r="H17" s="22"/>
      <c r="I17" s="24" t="s">
        <v>48</v>
      </c>
    </row>
    <row r="18" spans="1:9" ht="15" thickBot="1" x14ac:dyDescent="0.35">
      <c r="A18" s="13" t="s">
        <v>51</v>
      </c>
      <c r="B18" s="7" t="s">
        <v>9</v>
      </c>
      <c r="C18" s="8" t="s">
        <v>10</v>
      </c>
      <c r="D18" s="8" t="s">
        <v>11</v>
      </c>
      <c r="E18" s="8" t="s">
        <v>52</v>
      </c>
      <c r="F18" s="53">
        <v>400</v>
      </c>
      <c r="G18" s="14">
        <v>800</v>
      </c>
      <c r="H18" s="11">
        <v>400</v>
      </c>
      <c r="I18" s="16" t="s">
        <v>36</v>
      </c>
    </row>
    <row r="19" spans="1:9" ht="15" thickBot="1" x14ac:dyDescent="0.35">
      <c r="A19" s="13" t="s">
        <v>53</v>
      </c>
      <c r="B19" s="7" t="s">
        <v>9</v>
      </c>
      <c r="C19" s="8" t="s">
        <v>10</v>
      </c>
      <c r="D19" s="8" t="s">
        <v>54</v>
      </c>
      <c r="E19" s="8" t="s">
        <v>76</v>
      </c>
      <c r="F19" s="53">
        <v>460</v>
      </c>
      <c r="G19" s="14" t="s">
        <v>363</v>
      </c>
      <c r="H19" s="15">
        <v>460</v>
      </c>
      <c r="I19" s="24" t="s">
        <v>48</v>
      </c>
    </row>
    <row r="20" spans="1:9" ht="15" thickBot="1" x14ac:dyDescent="0.35">
      <c r="A20" s="13" t="s">
        <v>55</v>
      </c>
      <c r="B20" s="7" t="s">
        <v>9</v>
      </c>
      <c r="C20" s="8" t="s">
        <v>10</v>
      </c>
      <c r="D20" s="8" t="s">
        <v>11</v>
      </c>
      <c r="E20" s="8" t="s">
        <v>56</v>
      </c>
      <c r="F20" s="53">
        <v>400</v>
      </c>
      <c r="G20" s="14" t="s">
        <v>363</v>
      </c>
      <c r="H20" s="15"/>
      <c r="I20" s="25" t="s">
        <v>33</v>
      </c>
    </row>
    <row r="21" spans="1:9" ht="15" thickBot="1" x14ac:dyDescent="0.35">
      <c r="A21" s="13" t="s">
        <v>57</v>
      </c>
      <c r="B21" s="7" t="s">
        <v>9</v>
      </c>
      <c r="C21" s="8" t="s">
        <v>10</v>
      </c>
      <c r="D21" s="8" t="s">
        <v>54</v>
      </c>
      <c r="E21" s="8" t="s">
        <v>30</v>
      </c>
      <c r="F21" s="53">
        <v>450</v>
      </c>
      <c r="G21" s="14">
        <v>450</v>
      </c>
      <c r="H21" s="15">
        <v>0</v>
      </c>
      <c r="I21" s="24" t="s">
        <v>20</v>
      </c>
    </row>
    <row r="22" spans="1:9" ht="15" thickBot="1" x14ac:dyDescent="0.35">
      <c r="A22" s="13" t="s">
        <v>58</v>
      </c>
      <c r="B22" s="7" t="s">
        <v>9</v>
      </c>
      <c r="C22" s="8" t="s">
        <v>10</v>
      </c>
      <c r="D22" s="8" t="s">
        <v>54</v>
      </c>
      <c r="E22" s="8" t="s">
        <v>59</v>
      </c>
      <c r="F22" s="53">
        <v>500</v>
      </c>
      <c r="G22" s="14">
        <v>300</v>
      </c>
      <c r="H22" s="15"/>
      <c r="I22" s="24" t="s">
        <v>48</v>
      </c>
    </row>
    <row r="23" spans="1:9" ht="15" thickBot="1" x14ac:dyDescent="0.35">
      <c r="A23" s="13" t="s">
        <v>60</v>
      </c>
      <c r="B23" s="7" t="s">
        <v>9</v>
      </c>
      <c r="C23" s="8" t="s">
        <v>10</v>
      </c>
      <c r="D23" s="8" t="s">
        <v>54</v>
      </c>
      <c r="E23" s="8" t="s">
        <v>61</v>
      </c>
      <c r="F23" s="53">
        <v>440</v>
      </c>
      <c r="G23" s="14">
        <v>2200</v>
      </c>
      <c r="H23" s="22"/>
      <c r="I23" s="16" t="s">
        <v>36</v>
      </c>
    </row>
    <row r="24" spans="1:9" ht="15" thickBot="1" x14ac:dyDescent="0.35">
      <c r="A24" s="6" t="s">
        <v>62</v>
      </c>
      <c r="B24" s="7" t="s">
        <v>9</v>
      </c>
      <c r="C24" s="8" t="s">
        <v>10</v>
      </c>
      <c r="D24" s="8" t="s">
        <v>54</v>
      </c>
      <c r="E24" s="8"/>
      <c r="F24" s="53" t="s">
        <v>12</v>
      </c>
      <c r="G24" s="54"/>
      <c r="H24" s="22"/>
      <c r="I24" s="25" t="s">
        <v>33</v>
      </c>
    </row>
    <row r="25" spans="1:9" ht="15" thickBot="1" x14ac:dyDescent="0.35">
      <c r="A25" s="13" t="s">
        <v>64</v>
      </c>
      <c r="B25" s="7" t="s">
        <v>9</v>
      </c>
      <c r="C25" s="8" t="s">
        <v>10</v>
      </c>
      <c r="D25" s="8" t="s">
        <v>11</v>
      </c>
      <c r="E25" s="8" t="s">
        <v>65</v>
      </c>
      <c r="F25" s="53">
        <v>440</v>
      </c>
      <c r="G25" s="14">
        <v>880</v>
      </c>
      <c r="H25" s="15"/>
      <c r="I25" s="17" t="s">
        <v>20</v>
      </c>
    </row>
    <row r="26" spans="1:9" ht="15" thickBot="1" x14ac:dyDescent="0.35">
      <c r="A26" s="13" t="s">
        <v>66</v>
      </c>
      <c r="B26" s="7" t="s">
        <v>9</v>
      </c>
      <c r="C26" s="8" t="s">
        <v>10</v>
      </c>
      <c r="D26" s="8" t="s">
        <v>11</v>
      </c>
      <c r="E26" s="8" t="s">
        <v>30</v>
      </c>
      <c r="F26" s="53">
        <v>450</v>
      </c>
      <c r="G26" s="14">
        <v>450</v>
      </c>
      <c r="H26" s="22"/>
      <c r="I26" s="25" t="s">
        <v>33</v>
      </c>
    </row>
    <row r="27" spans="1:9" ht="15" thickBot="1" x14ac:dyDescent="0.35">
      <c r="A27" s="21" t="s">
        <v>67</v>
      </c>
      <c r="B27" s="7" t="s">
        <v>9</v>
      </c>
      <c r="C27" s="8" t="s">
        <v>10</v>
      </c>
      <c r="D27" s="8" t="s">
        <v>11</v>
      </c>
      <c r="E27" s="8" t="s">
        <v>364</v>
      </c>
      <c r="F27" s="53">
        <v>430</v>
      </c>
      <c r="G27" s="14">
        <v>430</v>
      </c>
      <c r="H27" s="15"/>
      <c r="I27" s="16" t="s">
        <v>33</v>
      </c>
    </row>
    <row r="28" spans="1:9" ht="15" thickBot="1" x14ac:dyDescent="0.35">
      <c r="A28" s="26" t="s">
        <v>68</v>
      </c>
      <c r="B28" s="7" t="s">
        <v>9</v>
      </c>
      <c r="C28" s="8" t="s">
        <v>10</v>
      </c>
      <c r="D28" s="8" t="s">
        <v>11</v>
      </c>
      <c r="E28" s="8"/>
      <c r="F28" s="55" t="s">
        <v>69</v>
      </c>
      <c r="G28" s="14"/>
      <c r="H28" s="15"/>
      <c r="I28" s="16" t="s">
        <v>13</v>
      </c>
    </row>
    <row r="29" spans="1:9" ht="15" thickBot="1" x14ac:dyDescent="0.35">
      <c r="A29" s="13" t="s">
        <v>70</v>
      </c>
      <c r="B29" s="7" t="s">
        <v>9</v>
      </c>
      <c r="C29" s="8" t="s">
        <v>10</v>
      </c>
      <c r="D29" s="8" t="s">
        <v>54</v>
      </c>
      <c r="E29" s="8" t="s">
        <v>71</v>
      </c>
      <c r="F29" s="53">
        <v>440</v>
      </c>
      <c r="G29" s="14" t="s">
        <v>363</v>
      </c>
      <c r="H29" s="15">
        <v>440</v>
      </c>
      <c r="I29" s="24" t="s">
        <v>48</v>
      </c>
    </row>
    <row r="30" spans="1:9" ht="15" thickBot="1" x14ac:dyDescent="0.35">
      <c r="A30" s="56" t="s">
        <v>72</v>
      </c>
      <c r="B30" s="7" t="s">
        <v>9</v>
      </c>
      <c r="C30" s="8" t="s">
        <v>10</v>
      </c>
      <c r="D30" s="8" t="s">
        <v>11</v>
      </c>
      <c r="E30" s="8" t="s">
        <v>365</v>
      </c>
      <c r="F30" s="55" t="s">
        <v>69</v>
      </c>
      <c r="G30" s="14">
        <v>780</v>
      </c>
      <c r="H30" s="22"/>
      <c r="I30" s="20" t="s">
        <v>28</v>
      </c>
    </row>
    <row r="31" spans="1:9" ht="15" thickBot="1" x14ac:dyDescent="0.35">
      <c r="A31" s="13" t="s">
        <v>73</v>
      </c>
      <c r="B31" s="7" t="s">
        <v>9</v>
      </c>
      <c r="C31" s="8" t="s">
        <v>10</v>
      </c>
      <c r="D31" s="8" t="s">
        <v>11</v>
      </c>
      <c r="E31" s="8" t="s">
        <v>74</v>
      </c>
      <c r="F31" s="53">
        <v>420</v>
      </c>
      <c r="G31" s="14">
        <v>420</v>
      </c>
      <c r="H31" s="22">
        <v>840</v>
      </c>
      <c r="I31" s="17" t="s">
        <v>20</v>
      </c>
    </row>
    <row r="32" spans="1:9" ht="15" thickBot="1" x14ac:dyDescent="0.35">
      <c r="A32" s="6" t="s">
        <v>75</v>
      </c>
      <c r="B32" s="7" t="s">
        <v>9</v>
      </c>
      <c r="C32" s="8" t="s">
        <v>10</v>
      </c>
      <c r="D32" s="8" t="s">
        <v>11</v>
      </c>
      <c r="E32" s="8"/>
      <c r="F32" s="53" t="s">
        <v>12</v>
      </c>
      <c r="G32" s="14"/>
      <c r="H32" s="22"/>
      <c r="I32" s="17" t="s">
        <v>13</v>
      </c>
    </row>
    <row r="33" spans="1:9" ht="15" thickBot="1" x14ac:dyDescent="0.35">
      <c r="A33" s="13" t="s">
        <v>77</v>
      </c>
      <c r="B33" s="7" t="s">
        <v>78</v>
      </c>
      <c r="C33" s="8" t="s">
        <v>79</v>
      </c>
      <c r="D33" s="8" t="s">
        <v>80</v>
      </c>
      <c r="E33" s="8" t="s">
        <v>81</v>
      </c>
      <c r="F33" s="53">
        <v>400</v>
      </c>
      <c r="G33" s="14" t="s">
        <v>363</v>
      </c>
      <c r="H33" s="15">
        <v>400</v>
      </c>
      <c r="I33" s="17" t="s">
        <v>20</v>
      </c>
    </row>
    <row r="34" spans="1:9" ht="15" thickBot="1" x14ac:dyDescent="0.35">
      <c r="A34" s="13" t="s">
        <v>82</v>
      </c>
      <c r="B34" s="7" t="s">
        <v>9</v>
      </c>
      <c r="C34" s="8" t="s">
        <v>10</v>
      </c>
      <c r="D34" s="8" t="s">
        <v>54</v>
      </c>
      <c r="E34" s="8" t="s">
        <v>83</v>
      </c>
      <c r="F34" s="53">
        <v>450</v>
      </c>
      <c r="G34" s="14" t="s">
        <v>363</v>
      </c>
      <c r="H34" s="15">
        <v>450</v>
      </c>
      <c r="I34" s="17" t="s">
        <v>36</v>
      </c>
    </row>
    <row r="35" spans="1:9" ht="15" thickBot="1" x14ac:dyDescent="0.35">
      <c r="A35" s="13" t="s">
        <v>84</v>
      </c>
      <c r="B35" s="7" t="s">
        <v>9</v>
      </c>
      <c r="C35" s="8" t="s">
        <v>10</v>
      </c>
      <c r="D35" s="8" t="s">
        <v>11</v>
      </c>
      <c r="E35" s="8" t="s">
        <v>85</v>
      </c>
      <c r="F35" s="53">
        <v>430</v>
      </c>
      <c r="G35" s="14" t="s">
        <v>363</v>
      </c>
      <c r="H35" s="15">
        <v>430</v>
      </c>
      <c r="I35" s="17" t="s">
        <v>33</v>
      </c>
    </row>
    <row r="36" spans="1:9" ht="15" thickBot="1" x14ac:dyDescent="0.35">
      <c r="A36" s="13" t="s">
        <v>86</v>
      </c>
      <c r="B36" s="7" t="s">
        <v>9</v>
      </c>
      <c r="C36" s="8" t="s">
        <v>10</v>
      </c>
      <c r="D36" s="8" t="s">
        <v>11</v>
      </c>
      <c r="E36" s="8" t="s">
        <v>87</v>
      </c>
      <c r="F36" s="53">
        <v>450</v>
      </c>
      <c r="G36" s="14">
        <v>450</v>
      </c>
      <c r="H36" s="15"/>
      <c r="I36" s="17" t="s">
        <v>20</v>
      </c>
    </row>
    <row r="37" spans="1:9" ht="15" thickBot="1" x14ac:dyDescent="0.35">
      <c r="A37" s="13" t="s">
        <v>88</v>
      </c>
      <c r="B37" s="7" t="s">
        <v>9</v>
      </c>
      <c r="C37" s="8" t="s">
        <v>10</v>
      </c>
      <c r="D37" s="8" t="s">
        <v>89</v>
      </c>
      <c r="E37" s="8" t="s">
        <v>90</v>
      </c>
      <c r="F37" s="53">
        <v>430</v>
      </c>
      <c r="G37" s="14">
        <v>430</v>
      </c>
      <c r="H37" s="15">
        <v>430</v>
      </c>
      <c r="I37" s="17" t="s">
        <v>48</v>
      </c>
    </row>
    <row r="38" spans="1:9" ht="15" thickBot="1" x14ac:dyDescent="0.35">
      <c r="A38" s="13" t="s">
        <v>91</v>
      </c>
      <c r="B38" s="7" t="s">
        <v>9</v>
      </c>
      <c r="C38" s="8" t="s">
        <v>10</v>
      </c>
      <c r="D38" s="8" t="s">
        <v>54</v>
      </c>
      <c r="E38" s="8" t="s">
        <v>30</v>
      </c>
      <c r="F38" s="53">
        <v>450</v>
      </c>
      <c r="G38" s="14">
        <v>430</v>
      </c>
      <c r="H38" s="15"/>
      <c r="I38" s="17" t="s">
        <v>33</v>
      </c>
    </row>
    <row r="39" spans="1:9" ht="15" thickBot="1" x14ac:dyDescent="0.35">
      <c r="A39" s="13" t="s">
        <v>92</v>
      </c>
      <c r="B39" s="7" t="s">
        <v>9</v>
      </c>
      <c r="C39" s="8" t="s">
        <v>10</v>
      </c>
      <c r="D39" s="8" t="s">
        <v>54</v>
      </c>
      <c r="E39" s="8" t="s">
        <v>93</v>
      </c>
      <c r="F39" s="53">
        <v>430</v>
      </c>
      <c r="G39" s="14">
        <v>450</v>
      </c>
      <c r="H39" s="15"/>
      <c r="I39" s="17" t="s">
        <v>17</v>
      </c>
    </row>
    <row r="40" spans="1:9" ht="15" thickBot="1" x14ac:dyDescent="0.35">
      <c r="A40" s="13" t="s">
        <v>94</v>
      </c>
      <c r="B40" s="7" t="s">
        <v>9</v>
      </c>
      <c r="C40" s="8" t="s">
        <v>10</v>
      </c>
      <c r="D40" s="8" t="s">
        <v>54</v>
      </c>
      <c r="E40" s="8" t="s">
        <v>95</v>
      </c>
      <c r="F40" s="53">
        <v>450</v>
      </c>
      <c r="G40" s="14">
        <v>450</v>
      </c>
      <c r="H40" s="15">
        <v>900</v>
      </c>
      <c r="I40" s="17" t="s">
        <v>33</v>
      </c>
    </row>
    <row r="41" spans="1:9" ht="15" thickBot="1" x14ac:dyDescent="0.35">
      <c r="A41" s="13" t="s">
        <v>96</v>
      </c>
      <c r="B41" s="7" t="s">
        <v>9</v>
      </c>
      <c r="C41" s="8" t="s">
        <v>10</v>
      </c>
      <c r="D41" s="8" t="s">
        <v>11</v>
      </c>
      <c r="E41" s="8" t="s">
        <v>97</v>
      </c>
      <c r="F41" s="53">
        <v>450</v>
      </c>
      <c r="G41" s="14" t="s">
        <v>363</v>
      </c>
      <c r="H41" s="15">
        <v>450</v>
      </c>
      <c r="I41" s="17" t="s">
        <v>33</v>
      </c>
    </row>
    <row r="42" spans="1:9" ht="15" thickBot="1" x14ac:dyDescent="0.35">
      <c r="A42" s="21" t="s">
        <v>366</v>
      </c>
      <c r="B42" s="7" t="s">
        <v>9</v>
      </c>
      <c r="C42" s="8" t="s">
        <v>10</v>
      </c>
      <c r="D42" s="8"/>
      <c r="E42" s="8" t="s">
        <v>367</v>
      </c>
      <c r="F42" s="53">
        <v>450</v>
      </c>
      <c r="G42" s="14" t="s">
        <v>363</v>
      </c>
      <c r="H42" s="15">
        <v>950</v>
      </c>
      <c r="I42" s="17" t="s">
        <v>368</v>
      </c>
    </row>
    <row r="43" spans="1:9" ht="15" thickBot="1" x14ac:dyDescent="0.35">
      <c r="A43" s="13"/>
      <c r="B43" s="8"/>
      <c r="C43" s="8"/>
      <c r="D43" s="8"/>
      <c r="E43" s="8"/>
      <c r="F43" s="53"/>
      <c r="G43" s="14"/>
      <c r="H43" s="15"/>
      <c r="I43" s="17" t="s">
        <v>13</v>
      </c>
    </row>
    <row r="44" spans="1:9" ht="15" thickBot="1" x14ac:dyDescent="0.35">
      <c r="A44" s="13" t="s">
        <v>98</v>
      </c>
      <c r="B44" s="7" t="s">
        <v>78</v>
      </c>
      <c r="C44" s="23" t="s">
        <v>99</v>
      </c>
      <c r="D44" s="23" t="s">
        <v>11</v>
      </c>
      <c r="E44" s="8" t="s">
        <v>100</v>
      </c>
      <c r="F44" s="53">
        <v>320</v>
      </c>
      <c r="G44" s="14" t="s">
        <v>363</v>
      </c>
      <c r="H44" s="15">
        <v>320</v>
      </c>
      <c r="I44" s="12" t="s">
        <v>17</v>
      </c>
    </row>
    <row r="45" spans="1:9" ht="15" thickBot="1" x14ac:dyDescent="0.35">
      <c r="A45" s="13" t="s">
        <v>101</v>
      </c>
      <c r="B45" s="7" t="s">
        <v>78</v>
      </c>
      <c r="C45" s="23" t="s">
        <v>99</v>
      </c>
      <c r="D45" s="23" t="s">
        <v>11</v>
      </c>
      <c r="E45" s="9" t="s">
        <v>102</v>
      </c>
      <c r="F45" s="53">
        <v>325</v>
      </c>
      <c r="G45" s="14" t="s">
        <v>363</v>
      </c>
      <c r="H45" s="11">
        <v>325</v>
      </c>
      <c r="I45" s="17" t="s">
        <v>17</v>
      </c>
    </row>
    <row r="46" spans="1:9" ht="15" thickBot="1" x14ac:dyDescent="0.35">
      <c r="A46" s="13" t="s">
        <v>103</v>
      </c>
      <c r="B46" s="7" t="s">
        <v>78</v>
      </c>
      <c r="C46" s="23" t="s">
        <v>99</v>
      </c>
      <c r="D46" s="23" t="s">
        <v>11</v>
      </c>
      <c r="E46" s="8" t="s">
        <v>104</v>
      </c>
      <c r="F46" s="53">
        <v>300</v>
      </c>
      <c r="G46" s="14" t="s">
        <v>363</v>
      </c>
      <c r="H46" s="15">
        <v>300</v>
      </c>
      <c r="I46" s="27" t="s">
        <v>17</v>
      </c>
    </row>
    <row r="47" spans="1:9" ht="15" thickBot="1" x14ac:dyDescent="0.35">
      <c r="A47" s="21" t="s">
        <v>105</v>
      </c>
      <c r="B47" s="7" t="s">
        <v>78</v>
      </c>
      <c r="C47" s="8" t="s">
        <v>99</v>
      </c>
      <c r="D47" s="8" t="s">
        <v>11</v>
      </c>
      <c r="E47" s="9" t="s">
        <v>369</v>
      </c>
      <c r="F47" s="53">
        <v>300</v>
      </c>
      <c r="G47" s="14" t="s">
        <v>363</v>
      </c>
      <c r="H47" s="11">
        <v>300</v>
      </c>
      <c r="I47" s="12" t="s">
        <v>36</v>
      </c>
    </row>
    <row r="48" spans="1:9" ht="15" thickBot="1" x14ac:dyDescent="0.35">
      <c r="A48" s="13" t="s">
        <v>106</v>
      </c>
      <c r="B48" s="7" t="s">
        <v>78</v>
      </c>
      <c r="C48" s="8" t="s">
        <v>99</v>
      </c>
      <c r="D48" s="8" t="s">
        <v>11</v>
      </c>
      <c r="E48" s="8" t="s">
        <v>107</v>
      </c>
      <c r="F48" s="53">
        <v>320</v>
      </c>
      <c r="G48" s="14">
        <v>4780</v>
      </c>
      <c r="H48" s="11"/>
      <c r="I48" s="25" t="s">
        <v>33</v>
      </c>
    </row>
    <row r="49" spans="1:9" ht="15" thickBot="1" x14ac:dyDescent="0.35">
      <c r="A49" s="21" t="s">
        <v>108</v>
      </c>
      <c r="B49" s="7" t="s">
        <v>78</v>
      </c>
      <c r="C49" s="8" t="s">
        <v>99</v>
      </c>
      <c r="D49" s="8" t="s">
        <v>11</v>
      </c>
      <c r="E49" s="9" t="s">
        <v>109</v>
      </c>
      <c r="F49" s="53">
        <v>310</v>
      </c>
      <c r="G49" s="14" t="s">
        <v>363</v>
      </c>
      <c r="H49" s="15">
        <v>310</v>
      </c>
      <c r="I49" s="28" t="s">
        <v>17</v>
      </c>
    </row>
    <row r="50" spans="1:9" ht="15" thickBot="1" x14ac:dyDescent="0.35">
      <c r="A50" s="13" t="s">
        <v>110</v>
      </c>
      <c r="B50" s="7" t="s">
        <v>78</v>
      </c>
      <c r="C50" s="8" t="s">
        <v>99</v>
      </c>
      <c r="D50" s="8" t="s">
        <v>11</v>
      </c>
      <c r="E50" s="8" t="s">
        <v>111</v>
      </c>
      <c r="F50" s="53">
        <v>400</v>
      </c>
      <c r="G50" s="14">
        <v>400</v>
      </c>
      <c r="H50" s="15"/>
      <c r="I50" s="25" t="s">
        <v>33</v>
      </c>
    </row>
    <row r="51" spans="1:9" ht="15" thickBot="1" x14ac:dyDescent="0.35">
      <c r="A51" s="13" t="s">
        <v>112</v>
      </c>
      <c r="B51" s="7" t="s">
        <v>78</v>
      </c>
      <c r="C51" s="8" t="s">
        <v>99</v>
      </c>
      <c r="D51" s="8" t="s">
        <v>11</v>
      </c>
      <c r="E51" s="8" t="s">
        <v>113</v>
      </c>
      <c r="F51" s="53">
        <v>350</v>
      </c>
      <c r="G51" s="14">
        <v>1050</v>
      </c>
      <c r="H51" s="15"/>
      <c r="I51" s="25" t="s">
        <v>33</v>
      </c>
    </row>
    <row r="52" spans="1:9" ht="15" thickBot="1" x14ac:dyDescent="0.35">
      <c r="A52" s="6" t="s">
        <v>114</v>
      </c>
      <c r="B52" s="7" t="s">
        <v>78</v>
      </c>
      <c r="C52" s="23" t="s">
        <v>99</v>
      </c>
      <c r="D52" s="23" t="s">
        <v>11</v>
      </c>
      <c r="E52" s="8"/>
      <c r="F52" s="52" t="s">
        <v>12</v>
      </c>
      <c r="G52" s="54"/>
      <c r="H52" s="15"/>
      <c r="I52" s="12" t="s">
        <v>13</v>
      </c>
    </row>
    <row r="53" spans="1:9" ht="15" thickBot="1" x14ac:dyDescent="0.35">
      <c r="A53" s="13" t="s">
        <v>115</v>
      </c>
      <c r="B53" s="7" t="s">
        <v>78</v>
      </c>
      <c r="C53" s="8" t="s">
        <v>99</v>
      </c>
      <c r="D53" s="8" t="s">
        <v>50</v>
      </c>
      <c r="E53" s="8" t="s">
        <v>116</v>
      </c>
      <c r="F53" s="53">
        <v>275</v>
      </c>
      <c r="G53" s="14" t="s">
        <v>363</v>
      </c>
      <c r="H53" s="15">
        <v>275</v>
      </c>
      <c r="I53" s="17" t="s">
        <v>20</v>
      </c>
    </row>
    <row r="54" spans="1:9" ht="15" thickBot="1" x14ac:dyDescent="0.35">
      <c r="A54" s="29" t="s">
        <v>117</v>
      </c>
      <c r="B54" s="7" t="s">
        <v>118</v>
      </c>
      <c r="C54" s="8" t="s">
        <v>119</v>
      </c>
      <c r="D54" s="8" t="s">
        <v>11</v>
      </c>
      <c r="E54" s="9" t="s">
        <v>120</v>
      </c>
      <c r="F54" s="53">
        <v>400</v>
      </c>
      <c r="G54" s="10">
        <f>7*400</f>
        <v>2800</v>
      </c>
      <c r="H54" s="15"/>
      <c r="I54" s="24" t="s">
        <v>48</v>
      </c>
    </row>
    <row r="55" spans="1:9" ht="15" thickBot="1" x14ac:dyDescent="0.35">
      <c r="A55" s="6" t="s">
        <v>121</v>
      </c>
      <c r="B55" s="7" t="s">
        <v>118</v>
      </c>
      <c r="C55" s="8" t="s">
        <v>119</v>
      </c>
      <c r="D55" s="8" t="s">
        <v>11</v>
      </c>
      <c r="E55" s="9"/>
      <c r="F55" s="52" t="s">
        <v>12</v>
      </c>
      <c r="G55" s="10"/>
      <c r="H55" s="11"/>
      <c r="I55" s="12" t="s">
        <v>13</v>
      </c>
    </row>
    <row r="56" spans="1:9" ht="15" thickBot="1" x14ac:dyDescent="0.35">
      <c r="A56" s="21" t="s">
        <v>122</v>
      </c>
      <c r="B56" s="7" t="s">
        <v>123</v>
      </c>
      <c r="C56" s="8" t="s">
        <v>124</v>
      </c>
      <c r="D56" s="8" t="s">
        <v>11</v>
      </c>
      <c r="E56" s="8" t="s">
        <v>125</v>
      </c>
      <c r="F56" s="53">
        <v>270</v>
      </c>
      <c r="G56" s="14">
        <v>270</v>
      </c>
      <c r="H56" s="15">
        <v>270</v>
      </c>
      <c r="I56" s="24" t="s">
        <v>17</v>
      </c>
    </row>
    <row r="57" spans="1:9" ht="15" thickBot="1" x14ac:dyDescent="0.35">
      <c r="A57" s="13" t="s">
        <v>126</v>
      </c>
      <c r="B57" s="7" t="s">
        <v>123</v>
      </c>
      <c r="C57" s="8" t="s">
        <v>124</v>
      </c>
      <c r="D57" s="8" t="s">
        <v>11</v>
      </c>
      <c r="E57" s="8" t="s">
        <v>127</v>
      </c>
      <c r="F57" s="53">
        <v>330</v>
      </c>
      <c r="G57" s="14">
        <v>330</v>
      </c>
      <c r="H57" s="22"/>
      <c r="I57" s="16" t="s">
        <v>36</v>
      </c>
    </row>
    <row r="58" spans="1:9" ht="15" thickBot="1" x14ac:dyDescent="0.35">
      <c r="A58" s="13" t="s">
        <v>128</v>
      </c>
      <c r="B58" s="7" t="s">
        <v>123</v>
      </c>
      <c r="C58" s="8" t="s">
        <v>124</v>
      </c>
      <c r="D58" s="8" t="s">
        <v>11</v>
      </c>
      <c r="E58" s="8" t="s">
        <v>129</v>
      </c>
      <c r="F58" s="53">
        <v>240</v>
      </c>
      <c r="G58" s="14" t="s">
        <v>363</v>
      </c>
      <c r="H58" s="15">
        <v>240</v>
      </c>
      <c r="I58" s="17" t="s">
        <v>33</v>
      </c>
    </row>
    <row r="59" spans="1:9" ht="15" thickBot="1" x14ac:dyDescent="0.35">
      <c r="A59" s="13" t="s">
        <v>130</v>
      </c>
      <c r="B59" s="7" t="s">
        <v>123</v>
      </c>
      <c r="C59" s="8" t="s">
        <v>124</v>
      </c>
      <c r="D59" s="8" t="s">
        <v>11</v>
      </c>
      <c r="E59" s="8" t="s">
        <v>131</v>
      </c>
      <c r="F59" s="53">
        <v>275</v>
      </c>
      <c r="G59" s="14">
        <v>1375</v>
      </c>
      <c r="H59" s="15"/>
      <c r="I59" s="16" t="s">
        <v>36</v>
      </c>
    </row>
    <row r="60" spans="1:9" ht="15" thickBot="1" x14ac:dyDescent="0.35">
      <c r="A60" s="13" t="s">
        <v>132</v>
      </c>
      <c r="B60" s="7" t="s">
        <v>123</v>
      </c>
      <c r="C60" s="23" t="s">
        <v>124</v>
      </c>
      <c r="D60" s="23" t="s">
        <v>11</v>
      </c>
      <c r="E60" s="8" t="s">
        <v>133</v>
      </c>
      <c r="F60" s="53">
        <v>275</v>
      </c>
      <c r="G60" s="14">
        <v>1100</v>
      </c>
      <c r="H60" s="22"/>
      <c r="I60" s="24" t="s">
        <v>48</v>
      </c>
    </row>
    <row r="61" spans="1:9" ht="15" thickBot="1" x14ac:dyDescent="0.35">
      <c r="A61" s="13" t="s">
        <v>134</v>
      </c>
      <c r="B61" s="7" t="s">
        <v>123</v>
      </c>
      <c r="C61" s="8" t="s">
        <v>124</v>
      </c>
      <c r="D61" s="8" t="s">
        <v>11</v>
      </c>
      <c r="E61" s="8" t="s">
        <v>135</v>
      </c>
      <c r="F61" s="53">
        <v>300</v>
      </c>
      <c r="G61" s="14" t="s">
        <v>363</v>
      </c>
      <c r="H61" s="15">
        <v>300</v>
      </c>
      <c r="I61" s="17" t="s">
        <v>20</v>
      </c>
    </row>
    <row r="62" spans="1:9" ht="15" thickBot="1" x14ac:dyDescent="0.35">
      <c r="A62" s="13" t="s">
        <v>136</v>
      </c>
      <c r="B62" s="7" t="s">
        <v>123</v>
      </c>
      <c r="C62" s="8" t="s">
        <v>124</v>
      </c>
      <c r="D62" s="8" t="s">
        <v>11</v>
      </c>
      <c r="E62" s="8" t="s">
        <v>137</v>
      </c>
      <c r="F62" s="53">
        <v>280</v>
      </c>
      <c r="G62" s="14" t="s">
        <v>363</v>
      </c>
      <c r="H62" s="15">
        <v>280</v>
      </c>
      <c r="I62" s="17" t="s">
        <v>20</v>
      </c>
    </row>
    <row r="63" spans="1:9" ht="15" thickBot="1" x14ac:dyDescent="0.35">
      <c r="A63" s="29" t="s">
        <v>138</v>
      </c>
      <c r="B63" s="7" t="s">
        <v>123</v>
      </c>
      <c r="C63" s="8" t="s">
        <v>124</v>
      </c>
      <c r="D63" s="8" t="s">
        <v>11</v>
      </c>
      <c r="E63" s="8" t="s">
        <v>139</v>
      </c>
      <c r="F63" s="53">
        <v>280</v>
      </c>
      <c r="G63" s="14">
        <v>840</v>
      </c>
      <c r="H63" s="22"/>
      <c r="I63" s="20" t="s">
        <v>28</v>
      </c>
    </row>
    <row r="64" spans="1:9" ht="15" thickBot="1" x14ac:dyDescent="0.35">
      <c r="A64" s="21" t="s">
        <v>140</v>
      </c>
      <c r="B64" s="7" t="s">
        <v>123</v>
      </c>
      <c r="C64" s="8" t="s">
        <v>124</v>
      </c>
      <c r="D64" s="8" t="s">
        <v>11</v>
      </c>
      <c r="E64" s="8" t="s">
        <v>63</v>
      </c>
      <c r="F64" s="53">
        <v>290</v>
      </c>
      <c r="G64" s="54">
        <v>2950</v>
      </c>
      <c r="H64" s="22">
        <f>640+640</f>
        <v>1280</v>
      </c>
      <c r="I64" s="24" t="s">
        <v>48</v>
      </c>
    </row>
    <row r="65" spans="1:9" ht="15" thickBot="1" x14ac:dyDescent="0.35">
      <c r="A65" s="29" t="s">
        <v>141</v>
      </c>
      <c r="B65" s="7" t="s">
        <v>123</v>
      </c>
      <c r="C65" s="23" t="s">
        <v>124</v>
      </c>
      <c r="D65" s="23" t="s">
        <v>11</v>
      </c>
      <c r="E65" s="8" t="s">
        <v>142</v>
      </c>
      <c r="F65" s="53">
        <v>290</v>
      </c>
      <c r="G65" s="54">
        <v>580</v>
      </c>
      <c r="H65" s="22">
        <v>290</v>
      </c>
      <c r="I65" s="16" t="s">
        <v>36</v>
      </c>
    </row>
    <row r="66" spans="1:9" ht="15" thickBot="1" x14ac:dyDescent="0.35">
      <c r="A66" s="13" t="s">
        <v>143</v>
      </c>
      <c r="B66" s="7" t="s">
        <v>123</v>
      </c>
      <c r="C66" s="8" t="s">
        <v>124</v>
      </c>
      <c r="D66" s="8" t="s">
        <v>11</v>
      </c>
      <c r="E66" s="8" t="s">
        <v>144</v>
      </c>
      <c r="F66" s="53">
        <v>270</v>
      </c>
      <c r="G66" s="14" t="s">
        <v>363</v>
      </c>
      <c r="H66" s="15">
        <v>270</v>
      </c>
      <c r="I66" s="17" t="s">
        <v>17</v>
      </c>
    </row>
    <row r="67" spans="1:9" ht="15" thickBot="1" x14ac:dyDescent="0.35">
      <c r="A67" s="29" t="s">
        <v>145</v>
      </c>
      <c r="B67" s="7" t="s">
        <v>123</v>
      </c>
      <c r="C67" s="8" t="s">
        <v>124</v>
      </c>
      <c r="D67" s="8" t="s">
        <v>11</v>
      </c>
      <c r="E67" s="8" t="s">
        <v>146</v>
      </c>
      <c r="F67" s="53">
        <v>310</v>
      </c>
      <c r="G67" s="14" t="s">
        <v>363</v>
      </c>
      <c r="H67" s="15">
        <v>310</v>
      </c>
      <c r="I67" s="16" t="s">
        <v>36</v>
      </c>
    </row>
    <row r="68" spans="1:9" ht="15" thickBot="1" x14ac:dyDescent="0.35">
      <c r="A68" s="13" t="s">
        <v>147</v>
      </c>
      <c r="B68" s="7" t="s">
        <v>123</v>
      </c>
      <c r="C68" s="8" t="s">
        <v>124</v>
      </c>
      <c r="D68" s="8" t="s">
        <v>11</v>
      </c>
      <c r="E68" s="8" t="s">
        <v>148</v>
      </c>
      <c r="F68" s="53">
        <v>300</v>
      </c>
      <c r="G68" s="14" t="s">
        <v>363</v>
      </c>
      <c r="H68" s="15">
        <v>300</v>
      </c>
      <c r="I68" s="27" t="s">
        <v>17</v>
      </c>
    </row>
    <row r="69" spans="1:9" ht="15" thickBot="1" x14ac:dyDescent="0.35">
      <c r="A69" s="13" t="s">
        <v>149</v>
      </c>
      <c r="B69" s="7" t="s">
        <v>123</v>
      </c>
      <c r="C69" s="8" t="s">
        <v>124</v>
      </c>
      <c r="D69" s="8" t="s">
        <v>11</v>
      </c>
      <c r="E69" s="8" t="s">
        <v>150</v>
      </c>
      <c r="F69" s="53">
        <v>270</v>
      </c>
      <c r="G69" s="14" t="s">
        <v>363</v>
      </c>
      <c r="H69" s="15">
        <v>270</v>
      </c>
      <c r="I69" s="27" t="s">
        <v>17</v>
      </c>
    </row>
    <row r="70" spans="1:9" ht="15" thickBot="1" x14ac:dyDescent="0.35">
      <c r="A70" s="13" t="s">
        <v>151</v>
      </c>
      <c r="B70" s="7" t="s">
        <v>123</v>
      </c>
      <c r="C70" s="8" t="s">
        <v>124</v>
      </c>
      <c r="D70" s="8" t="s">
        <v>152</v>
      </c>
      <c r="E70" s="8" t="s">
        <v>153</v>
      </c>
      <c r="F70" s="53">
        <v>300</v>
      </c>
      <c r="G70" s="14">
        <v>900</v>
      </c>
      <c r="H70" s="15"/>
      <c r="I70" s="25" t="s">
        <v>48</v>
      </c>
    </row>
    <row r="71" spans="1:9" ht="15" thickBot="1" x14ac:dyDescent="0.35">
      <c r="A71" s="13" t="s">
        <v>154</v>
      </c>
      <c r="B71" s="7" t="s">
        <v>123</v>
      </c>
      <c r="C71" s="23" t="s">
        <v>124</v>
      </c>
      <c r="D71" s="8" t="s">
        <v>11</v>
      </c>
      <c r="E71" s="8" t="s">
        <v>155</v>
      </c>
      <c r="F71" s="53">
        <v>250</v>
      </c>
      <c r="G71" s="14">
        <v>4400</v>
      </c>
      <c r="H71" s="22"/>
      <c r="I71" s="27" t="s">
        <v>17</v>
      </c>
    </row>
    <row r="72" spans="1:9" ht="15" thickBot="1" x14ac:dyDescent="0.35">
      <c r="A72" s="30"/>
      <c r="B72" s="31"/>
      <c r="C72" s="31"/>
      <c r="D72" s="9"/>
      <c r="E72" s="9"/>
      <c r="F72" s="57"/>
      <c r="G72" s="58"/>
      <c r="H72" s="11"/>
      <c r="I72" s="12" t="s">
        <v>13</v>
      </c>
    </row>
    <row r="73" spans="1:9" ht="15" thickBot="1" x14ac:dyDescent="0.35">
      <c r="A73" s="13" t="s">
        <v>156</v>
      </c>
      <c r="B73" s="7" t="s">
        <v>123</v>
      </c>
      <c r="C73" s="8" t="s">
        <v>157</v>
      </c>
      <c r="D73" s="8" t="s">
        <v>11</v>
      </c>
      <c r="E73" s="8" t="s">
        <v>158</v>
      </c>
      <c r="F73" s="53">
        <v>300</v>
      </c>
      <c r="G73" s="14" t="s">
        <v>363</v>
      </c>
      <c r="H73" s="15">
        <v>300</v>
      </c>
      <c r="I73" s="27" t="s">
        <v>17</v>
      </c>
    </row>
    <row r="74" spans="1:9" ht="15" thickBot="1" x14ac:dyDescent="0.35">
      <c r="A74" s="13" t="s">
        <v>159</v>
      </c>
      <c r="B74" s="7" t="s">
        <v>123</v>
      </c>
      <c r="C74" s="8" t="s">
        <v>157</v>
      </c>
      <c r="D74" s="8" t="s">
        <v>11</v>
      </c>
      <c r="E74" s="8" t="s">
        <v>160</v>
      </c>
      <c r="F74" s="53">
        <v>280</v>
      </c>
      <c r="G74" s="14" t="s">
        <v>363</v>
      </c>
      <c r="H74" s="15">
        <v>280</v>
      </c>
      <c r="I74" s="25" t="s">
        <v>33</v>
      </c>
    </row>
    <row r="75" spans="1:9" ht="15" thickBot="1" x14ac:dyDescent="0.35">
      <c r="A75" s="29" t="s">
        <v>161</v>
      </c>
      <c r="B75" s="7" t="s">
        <v>123</v>
      </c>
      <c r="C75" s="8" t="s">
        <v>157</v>
      </c>
      <c r="D75" s="8" t="s">
        <v>11</v>
      </c>
      <c r="E75" s="8" t="s">
        <v>162</v>
      </c>
      <c r="F75" s="53">
        <v>275</v>
      </c>
      <c r="G75" s="14">
        <v>275</v>
      </c>
      <c r="H75" s="15"/>
      <c r="I75" s="25" t="s">
        <v>33</v>
      </c>
    </row>
    <row r="76" spans="1:9" ht="15" thickBot="1" x14ac:dyDescent="0.35">
      <c r="A76" s="13" t="s">
        <v>163</v>
      </c>
      <c r="B76" s="7" t="s">
        <v>123</v>
      </c>
      <c r="C76" s="8" t="s">
        <v>157</v>
      </c>
      <c r="D76" s="8" t="s">
        <v>11</v>
      </c>
      <c r="E76" s="8" t="s">
        <v>164</v>
      </c>
      <c r="F76" s="53">
        <v>300</v>
      </c>
      <c r="G76" s="14">
        <v>300</v>
      </c>
      <c r="H76" s="22">
        <v>300</v>
      </c>
      <c r="I76" s="17" t="s">
        <v>20</v>
      </c>
    </row>
    <row r="77" spans="1:9" ht="15" thickBot="1" x14ac:dyDescent="0.35">
      <c r="A77" s="13" t="s">
        <v>165</v>
      </c>
      <c r="B77" s="7" t="s">
        <v>123</v>
      </c>
      <c r="C77" s="8" t="s">
        <v>157</v>
      </c>
      <c r="D77" s="8" t="s">
        <v>11</v>
      </c>
      <c r="E77" s="8" t="s">
        <v>166</v>
      </c>
      <c r="F77" s="53">
        <v>290</v>
      </c>
      <c r="G77" s="14">
        <v>1450</v>
      </c>
      <c r="H77" s="15">
        <v>290</v>
      </c>
      <c r="I77" s="17" t="s">
        <v>20</v>
      </c>
    </row>
    <row r="78" spans="1:9" ht="15" thickBot="1" x14ac:dyDescent="0.35">
      <c r="A78" s="13" t="s">
        <v>167</v>
      </c>
      <c r="B78" s="7" t="s">
        <v>123</v>
      </c>
      <c r="C78" s="8" t="s">
        <v>157</v>
      </c>
      <c r="D78" s="8" t="s">
        <v>11</v>
      </c>
      <c r="E78" s="8" t="s">
        <v>168</v>
      </c>
      <c r="F78" s="53">
        <v>280</v>
      </c>
      <c r="G78" s="14">
        <v>1030</v>
      </c>
      <c r="H78" s="15"/>
      <c r="I78" s="32" t="s">
        <v>169</v>
      </c>
    </row>
    <row r="79" spans="1:9" ht="15" thickBot="1" x14ac:dyDescent="0.35">
      <c r="A79" s="21" t="s">
        <v>170</v>
      </c>
      <c r="B79" s="7" t="s">
        <v>9</v>
      </c>
      <c r="C79" s="8" t="s">
        <v>171</v>
      </c>
      <c r="D79" s="8" t="s">
        <v>172</v>
      </c>
      <c r="E79" s="9" t="s">
        <v>173</v>
      </c>
      <c r="F79" s="53">
        <v>200</v>
      </c>
      <c r="G79" s="10" t="s">
        <v>363</v>
      </c>
      <c r="H79" s="11">
        <v>200</v>
      </c>
      <c r="I79" s="32" t="s">
        <v>20</v>
      </c>
    </row>
    <row r="80" spans="1:9" ht="15" thickBot="1" x14ac:dyDescent="0.35">
      <c r="A80" s="13" t="s">
        <v>174</v>
      </c>
      <c r="B80" s="7" t="s">
        <v>9</v>
      </c>
      <c r="C80" s="8" t="s">
        <v>175</v>
      </c>
      <c r="D80" s="8" t="s">
        <v>11</v>
      </c>
      <c r="E80" s="8" t="s">
        <v>176</v>
      </c>
      <c r="F80" s="53">
        <v>220</v>
      </c>
      <c r="G80" s="14" t="s">
        <v>363</v>
      </c>
      <c r="H80" s="22">
        <v>1000</v>
      </c>
      <c r="I80" s="32" t="s">
        <v>169</v>
      </c>
    </row>
    <row r="81" spans="1:9" ht="15" thickBot="1" x14ac:dyDescent="0.35">
      <c r="A81" s="21" t="s">
        <v>177</v>
      </c>
      <c r="B81" s="7" t="s">
        <v>118</v>
      </c>
      <c r="C81" s="8" t="s">
        <v>178</v>
      </c>
      <c r="D81" s="8" t="s">
        <v>80</v>
      </c>
      <c r="E81" s="9" t="s">
        <v>179</v>
      </c>
      <c r="F81" s="53">
        <v>360</v>
      </c>
      <c r="G81" s="14">
        <v>720</v>
      </c>
      <c r="H81" s="11"/>
      <c r="I81" s="12" t="s">
        <v>20</v>
      </c>
    </row>
    <row r="82" spans="1:9" ht="15" thickBot="1" x14ac:dyDescent="0.35">
      <c r="A82" s="13" t="s">
        <v>180</v>
      </c>
      <c r="B82" s="7" t="s">
        <v>181</v>
      </c>
      <c r="C82" s="8" t="s">
        <v>182</v>
      </c>
      <c r="D82" s="8" t="s">
        <v>26</v>
      </c>
      <c r="E82" s="18" t="s">
        <v>120</v>
      </c>
      <c r="F82" s="53">
        <v>270</v>
      </c>
      <c r="G82" s="14"/>
      <c r="H82" s="22"/>
      <c r="I82" s="27" t="s">
        <v>17</v>
      </c>
    </row>
    <row r="83" spans="1:9" ht="15" thickBot="1" x14ac:dyDescent="0.35">
      <c r="A83" s="13" t="s">
        <v>183</v>
      </c>
      <c r="B83" s="7" t="s">
        <v>184</v>
      </c>
      <c r="C83" s="23" t="s">
        <v>185</v>
      </c>
      <c r="D83" s="8" t="s">
        <v>50</v>
      </c>
      <c r="E83" s="8" t="s">
        <v>186</v>
      </c>
      <c r="F83" s="53">
        <v>200</v>
      </c>
      <c r="G83" s="14" t="s">
        <v>363</v>
      </c>
      <c r="H83" s="15">
        <v>200</v>
      </c>
      <c r="I83" s="17" t="s">
        <v>20</v>
      </c>
    </row>
    <row r="84" spans="1:9" ht="15" thickBot="1" x14ac:dyDescent="0.35">
      <c r="A84" s="13" t="s">
        <v>187</v>
      </c>
      <c r="B84" s="7" t="s">
        <v>188</v>
      </c>
      <c r="C84" s="8" t="s">
        <v>189</v>
      </c>
      <c r="D84" s="8" t="s">
        <v>50</v>
      </c>
      <c r="E84" s="8" t="s">
        <v>190</v>
      </c>
      <c r="F84" s="53" t="s">
        <v>23</v>
      </c>
      <c r="G84" s="14">
        <v>900</v>
      </c>
      <c r="H84" s="15">
        <v>1800</v>
      </c>
      <c r="I84" s="17" t="s">
        <v>20</v>
      </c>
    </row>
    <row r="85" spans="1:9" ht="15" thickBot="1" x14ac:dyDescent="0.35">
      <c r="A85" s="13" t="s">
        <v>191</v>
      </c>
      <c r="B85" s="7" t="s">
        <v>188</v>
      </c>
      <c r="C85" s="8" t="s">
        <v>189</v>
      </c>
      <c r="D85" s="8" t="s">
        <v>80</v>
      </c>
      <c r="E85" s="9" t="s">
        <v>192</v>
      </c>
      <c r="F85" s="53">
        <v>475</v>
      </c>
      <c r="G85" s="10" t="s">
        <v>363</v>
      </c>
      <c r="H85" s="22">
        <v>950</v>
      </c>
      <c r="I85" s="27" t="s">
        <v>17</v>
      </c>
    </row>
    <row r="86" spans="1:9" ht="15" thickBot="1" x14ac:dyDescent="0.35">
      <c r="A86" s="13" t="s">
        <v>193</v>
      </c>
      <c r="B86" s="7" t="s">
        <v>188</v>
      </c>
      <c r="C86" s="8" t="s">
        <v>189</v>
      </c>
      <c r="D86" s="8" t="s">
        <v>80</v>
      </c>
      <c r="E86" s="9" t="s">
        <v>194</v>
      </c>
      <c r="F86" s="53">
        <v>500</v>
      </c>
      <c r="G86" s="10" t="s">
        <v>363</v>
      </c>
      <c r="H86" s="22">
        <v>500</v>
      </c>
      <c r="I86" s="27" t="s">
        <v>169</v>
      </c>
    </row>
    <row r="87" spans="1:9" ht="15" thickBot="1" x14ac:dyDescent="0.35">
      <c r="A87" s="13" t="s">
        <v>195</v>
      </c>
      <c r="B87" s="7" t="s">
        <v>188</v>
      </c>
      <c r="C87" s="8" t="s">
        <v>189</v>
      </c>
      <c r="D87" s="8" t="s">
        <v>80</v>
      </c>
      <c r="E87" s="8" t="s">
        <v>196</v>
      </c>
      <c r="F87" s="53">
        <v>480</v>
      </c>
      <c r="G87" s="54" t="s">
        <v>363</v>
      </c>
      <c r="H87" s="15">
        <v>480</v>
      </c>
      <c r="I87" s="17" t="s">
        <v>20</v>
      </c>
    </row>
    <row r="88" spans="1:9" ht="15" thickBot="1" x14ac:dyDescent="0.35">
      <c r="A88" s="13" t="s">
        <v>197</v>
      </c>
      <c r="B88" s="7" t="s">
        <v>198</v>
      </c>
      <c r="C88" s="8" t="s">
        <v>199</v>
      </c>
      <c r="D88" s="8" t="s">
        <v>11</v>
      </c>
      <c r="E88" s="8" t="s">
        <v>200</v>
      </c>
      <c r="F88" s="53">
        <v>480</v>
      </c>
      <c r="G88" s="54">
        <v>480</v>
      </c>
      <c r="H88" s="15"/>
      <c r="I88" s="25" t="s">
        <v>33</v>
      </c>
    </row>
    <row r="89" spans="1:9" ht="15" thickBot="1" x14ac:dyDescent="0.35">
      <c r="A89" s="59" t="s">
        <v>201</v>
      </c>
      <c r="B89" s="7" t="s">
        <v>198</v>
      </c>
      <c r="C89" s="8"/>
      <c r="D89" s="8" t="s">
        <v>11</v>
      </c>
      <c r="E89" s="18" t="s">
        <v>370</v>
      </c>
      <c r="F89" s="52" t="s">
        <v>12</v>
      </c>
      <c r="G89" s="54"/>
      <c r="H89" s="15"/>
      <c r="I89" s="12" t="s">
        <v>13</v>
      </c>
    </row>
    <row r="90" spans="1:9" ht="15" thickBot="1" x14ac:dyDescent="0.35">
      <c r="A90" s="13" t="s">
        <v>202</v>
      </c>
      <c r="B90" s="7" t="s">
        <v>203</v>
      </c>
      <c r="C90" s="8" t="s">
        <v>204</v>
      </c>
      <c r="D90" s="8" t="s">
        <v>205</v>
      </c>
      <c r="E90" s="8" t="s">
        <v>206</v>
      </c>
      <c r="F90" s="53">
        <v>160</v>
      </c>
      <c r="G90" s="14">
        <v>160</v>
      </c>
      <c r="H90" s="11"/>
      <c r="I90" s="27" t="s">
        <v>17</v>
      </c>
    </row>
    <row r="91" spans="1:9" ht="15" thickBot="1" x14ac:dyDescent="0.35">
      <c r="A91" s="13" t="s">
        <v>207</v>
      </c>
      <c r="B91" s="7" t="s">
        <v>203</v>
      </c>
      <c r="C91" s="8" t="s">
        <v>204</v>
      </c>
      <c r="D91" s="8" t="s">
        <v>50</v>
      </c>
      <c r="E91" s="8" t="s">
        <v>208</v>
      </c>
      <c r="F91" s="53">
        <v>140</v>
      </c>
      <c r="G91" s="14" t="s">
        <v>363</v>
      </c>
      <c r="H91" s="15">
        <v>140</v>
      </c>
      <c r="I91" s="16" t="s">
        <v>36</v>
      </c>
    </row>
    <row r="92" spans="1:9" ht="15" thickBot="1" x14ac:dyDescent="0.35">
      <c r="A92" s="13" t="s">
        <v>209</v>
      </c>
      <c r="B92" s="7" t="s">
        <v>78</v>
      </c>
      <c r="C92" s="23" t="s">
        <v>210</v>
      </c>
      <c r="D92" s="23" t="s">
        <v>11</v>
      </c>
      <c r="E92" s="8" t="s">
        <v>211</v>
      </c>
      <c r="F92" s="53">
        <v>400</v>
      </c>
      <c r="G92" s="54">
        <v>1830</v>
      </c>
      <c r="H92" s="15">
        <v>700</v>
      </c>
      <c r="I92" s="17" t="s">
        <v>20</v>
      </c>
    </row>
    <row r="93" spans="1:9" ht="15" thickBot="1" x14ac:dyDescent="0.35">
      <c r="A93" s="33" t="s">
        <v>212</v>
      </c>
      <c r="B93" s="7" t="s">
        <v>213</v>
      </c>
      <c r="C93" s="8" t="s">
        <v>214</v>
      </c>
      <c r="D93" s="8" t="s">
        <v>15</v>
      </c>
      <c r="E93" s="18" t="s">
        <v>215</v>
      </c>
      <c r="F93" s="53" t="s">
        <v>23</v>
      </c>
      <c r="G93" s="14"/>
      <c r="H93" s="22"/>
      <c r="I93" s="28" t="s">
        <v>13</v>
      </c>
    </row>
    <row r="94" spans="1:9" ht="15" thickBot="1" x14ac:dyDescent="0.35">
      <c r="A94" s="13" t="s">
        <v>216</v>
      </c>
      <c r="B94" s="7" t="s">
        <v>213</v>
      </c>
      <c r="C94" s="9"/>
      <c r="D94" s="8" t="s">
        <v>217</v>
      </c>
      <c r="E94" s="8" t="s">
        <v>218</v>
      </c>
      <c r="F94" s="53">
        <v>170</v>
      </c>
      <c r="G94" s="14">
        <v>170</v>
      </c>
      <c r="H94" s="15"/>
      <c r="I94" s="16" t="s">
        <v>36</v>
      </c>
    </row>
    <row r="95" spans="1:9" ht="15" thickBot="1" x14ac:dyDescent="0.35">
      <c r="A95" s="13" t="s">
        <v>219</v>
      </c>
      <c r="B95" s="7" t="s">
        <v>213</v>
      </c>
      <c r="C95" s="8" t="s">
        <v>214</v>
      </c>
      <c r="D95" s="8" t="s">
        <v>152</v>
      </c>
      <c r="E95" s="8" t="s">
        <v>371</v>
      </c>
      <c r="F95" s="53">
        <v>150</v>
      </c>
      <c r="G95" s="14">
        <v>150</v>
      </c>
      <c r="H95" s="15"/>
      <c r="I95" s="16" t="s">
        <v>20</v>
      </c>
    </row>
    <row r="96" spans="1:9" ht="15" thickBot="1" x14ac:dyDescent="0.35">
      <c r="A96" s="6" t="s">
        <v>220</v>
      </c>
      <c r="B96" s="7" t="s">
        <v>221</v>
      </c>
      <c r="C96" s="8" t="s">
        <v>222</v>
      </c>
      <c r="D96" s="8" t="s">
        <v>50</v>
      </c>
      <c r="E96" s="9"/>
      <c r="F96" s="52" t="s">
        <v>12</v>
      </c>
      <c r="G96" s="58"/>
      <c r="H96" s="11"/>
      <c r="I96" s="12" t="s">
        <v>13</v>
      </c>
    </row>
    <row r="97" spans="1:9" ht="15" thickBot="1" x14ac:dyDescent="0.35">
      <c r="A97" s="13" t="s">
        <v>223</v>
      </c>
      <c r="B97" s="7" t="s">
        <v>213</v>
      </c>
      <c r="C97" s="23" t="s">
        <v>224</v>
      </c>
      <c r="D97" s="23" t="s">
        <v>11</v>
      </c>
      <c r="E97" s="8" t="s">
        <v>215</v>
      </c>
      <c r="F97" s="53">
        <v>250</v>
      </c>
      <c r="G97" s="54"/>
      <c r="H97" s="15"/>
      <c r="I97" s="24" t="s">
        <v>48</v>
      </c>
    </row>
    <row r="98" spans="1:9" ht="15" thickBot="1" x14ac:dyDescent="0.35">
      <c r="A98" s="13" t="s">
        <v>225</v>
      </c>
      <c r="B98" s="7" t="s">
        <v>221</v>
      </c>
      <c r="C98" s="23" t="s">
        <v>226</v>
      </c>
      <c r="D98" s="23" t="s">
        <v>11</v>
      </c>
      <c r="E98" s="8" t="s">
        <v>227</v>
      </c>
      <c r="F98" s="53">
        <v>300</v>
      </c>
      <c r="G98" s="54">
        <v>3800</v>
      </c>
      <c r="H98" s="11"/>
      <c r="I98" s="27" t="s">
        <v>17</v>
      </c>
    </row>
    <row r="99" spans="1:9" ht="15" thickBot="1" x14ac:dyDescent="0.35">
      <c r="A99" s="13" t="s">
        <v>228</v>
      </c>
      <c r="B99" s="7" t="s">
        <v>229</v>
      </c>
      <c r="C99" s="8" t="s">
        <v>230</v>
      </c>
      <c r="D99" s="8" t="s">
        <v>11</v>
      </c>
      <c r="E99" s="8" t="s">
        <v>231</v>
      </c>
      <c r="F99" s="53">
        <v>210</v>
      </c>
      <c r="G99" s="14">
        <f>1470-210</f>
        <v>1260</v>
      </c>
      <c r="H99" s="22">
        <v>210</v>
      </c>
      <c r="I99" s="17" t="s">
        <v>20</v>
      </c>
    </row>
    <row r="100" spans="1:9" ht="15" thickBot="1" x14ac:dyDescent="0.35">
      <c r="A100" s="13" t="s">
        <v>232</v>
      </c>
      <c r="B100" s="7" t="s">
        <v>213</v>
      </c>
      <c r="C100" s="8" t="s">
        <v>233</v>
      </c>
      <c r="D100" s="8" t="s">
        <v>11</v>
      </c>
      <c r="E100" s="8" t="s">
        <v>234</v>
      </c>
      <c r="F100" s="53">
        <v>250</v>
      </c>
      <c r="G100" s="14">
        <v>250</v>
      </c>
      <c r="H100" s="15"/>
      <c r="I100" s="25" t="s">
        <v>33</v>
      </c>
    </row>
    <row r="101" spans="1:9" ht="15" thickBot="1" x14ac:dyDescent="0.35">
      <c r="A101" s="13" t="s">
        <v>235</v>
      </c>
      <c r="B101" s="34" t="s">
        <v>221</v>
      </c>
      <c r="C101" s="8" t="s">
        <v>236</v>
      </c>
      <c r="D101" s="8" t="s">
        <v>11</v>
      </c>
      <c r="E101" s="8" t="s">
        <v>237</v>
      </c>
      <c r="F101" s="53">
        <v>425</v>
      </c>
      <c r="G101" s="54" t="s">
        <v>363</v>
      </c>
      <c r="H101" s="15">
        <v>425</v>
      </c>
      <c r="I101" s="24" t="s">
        <v>48</v>
      </c>
    </row>
    <row r="102" spans="1:9" ht="15" thickBot="1" x14ac:dyDescent="0.35">
      <c r="A102" s="6" t="s">
        <v>238</v>
      </c>
      <c r="B102" s="7" t="s">
        <v>213</v>
      </c>
      <c r="C102" s="23" t="s">
        <v>224</v>
      </c>
      <c r="D102" s="23" t="s">
        <v>11</v>
      </c>
      <c r="E102" s="8"/>
      <c r="F102" s="53" t="s">
        <v>12</v>
      </c>
      <c r="G102" s="60"/>
      <c r="H102" s="22"/>
      <c r="I102" s="16" t="s">
        <v>36</v>
      </c>
    </row>
    <row r="103" spans="1:9" ht="15" thickBot="1" x14ac:dyDescent="0.35">
      <c r="A103" s="13" t="s">
        <v>240</v>
      </c>
      <c r="B103" s="7" t="s">
        <v>78</v>
      </c>
      <c r="C103" s="8" t="s">
        <v>241</v>
      </c>
      <c r="D103" s="23" t="s">
        <v>205</v>
      </c>
      <c r="E103" s="18" t="s">
        <v>242</v>
      </c>
      <c r="F103" s="53">
        <v>180</v>
      </c>
      <c r="G103" s="14">
        <v>360</v>
      </c>
      <c r="H103" s="15"/>
      <c r="I103" s="25" t="s">
        <v>33</v>
      </c>
    </row>
    <row r="104" spans="1:9" ht="15" thickBot="1" x14ac:dyDescent="0.35">
      <c r="A104" s="13" t="s">
        <v>243</v>
      </c>
      <c r="B104" s="7" t="s">
        <v>78</v>
      </c>
      <c r="C104" s="8" t="s">
        <v>244</v>
      </c>
      <c r="D104" s="8" t="s">
        <v>54</v>
      </c>
      <c r="E104" s="8" t="s">
        <v>245</v>
      </c>
      <c r="F104" s="53">
        <v>160</v>
      </c>
      <c r="G104" s="14" t="s">
        <v>363</v>
      </c>
      <c r="H104" s="22">
        <v>320</v>
      </c>
      <c r="I104" s="32" t="s">
        <v>169</v>
      </c>
    </row>
    <row r="105" spans="1:9" ht="15" thickBot="1" x14ac:dyDescent="0.35">
      <c r="A105" s="29" t="s">
        <v>246</v>
      </c>
      <c r="B105" s="7" t="s">
        <v>247</v>
      </c>
      <c r="C105" s="8" t="s">
        <v>248</v>
      </c>
      <c r="D105" s="8" t="s">
        <v>50</v>
      </c>
      <c r="E105" s="9" t="s">
        <v>155</v>
      </c>
      <c r="F105" s="53">
        <v>300</v>
      </c>
      <c r="G105" s="58">
        <v>2300</v>
      </c>
      <c r="H105" s="15"/>
      <c r="I105" s="20" t="s">
        <v>28</v>
      </c>
    </row>
    <row r="106" spans="1:9" ht="15" thickBot="1" x14ac:dyDescent="0.35">
      <c r="A106" s="6" t="s">
        <v>249</v>
      </c>
      <c r="B106" s="7" t="s">
        <v>247</v>
      </c>
      <c r="C106" s="8" t="s">
        <v>248</v>
      </c>
      <c r="D106" s="8" t="s">
        <v>152</v>
      </c>
      <c r="E106" s="9"/>
      <c r="F106" s="52" t="s">
        <v>12</v>
      </c>
      <c r="G106" s="10"/>
      <c r="H106" s="11"/>
      <c r="I106" s="12" t="s">
        <v>13</v>
      </c>
    </row>
    <row r="107" spans="1:9" ht="15" thickBot="1" x14ac:dyDescent="0.35">
      <c r="A107" s="13" t="s">
        <v>250</v>
      </c>
      <c r="B107" s="7" t="s">
        <v>78</v>
      </c>
      <c r="C107" s="8" t="s">
        <v>251</v>
      </c>
      <c r="D107" s="8" t="s">
        <v>11</v>
      </c>
      <c r="E107" s="8" t="s">
        <v>252</v>
      </c>
      <c r="F107" s="53">
        <v>400</v>
      </c>
      <c r="G107" s="14">
        <v>400</v>
      </c>
      <c r="H107" s="15">
        <v>400</v>
      </c>
      <c r="I107" s="25" t="s">
        <v>33</v>
      </c>
    </row>
    <row r="108" spans="1:9" ht="15" thickBot="1" x14ac:dyDescent="0.35">
      <c r="A108" s="13" t="s">
        <v>253</v>
      </c>
      <c r="B108" s="7" t="s">
        <v>78</v>
      </c>
      <c r="C108" s="23" t="s">
        <v>251</v>
      </c>
      <c r="D108" s="23" t="s">
        <v>11</v>
      </c>
      <c r="E108" s="8" t="s">
        <v>254</v>
      </c>
      <c r="F108" s="53">
        <v>330</v>
      </c>
      <c r="G108" s="58">
        <v>1320</v>
      </c>
      <c r="H108" s="15"/>
      <c r="I108" s="16" t="s">
        <v>36</v>
      </c>
    </row>
    <row r="109" spans="1:9" ht="15" thickBot="1" x14ac:dyDescent="0.35">
      <c r="A109" s="21" t="s">
        <v>255</v>
      </c>
      <c r="B109" s="7" t="s">
        <v>256</v>
      </c>
      <c r="C109" s="8" t="s">
        <v>257</v>
      </c>
      <c r="D109" s="8" t="s">
        <v>50</v>
      </c>
      <c r="E109" s="8" t="s">
        <v>372</v>
      </c>
      <c r="F109" s="53">
        <v>150</v>
      </c>
      <c r="G109" s="14">
        <v>300</v>
      </c>
      <c r="H109" s="15"/>
      <c r="I109" s="12" t="s">
        <v>373</v>
      </c>
    </row>
    <row r="110" spans="1:9" ht="15" thickBot="1" x14ac:dyDescent="0.35">
      <c r="A110" s="13" t="s">
        <v>258</v>
      </c>
      <c r="B110" s="7" t="s">
        <v>78</v>
      </c>
      <c r="C110" s="8" t="s">
        <v>241</v>
      </c>
      <c r="D110" s="8" t="s">
        <v>11</v>
      </c>
      <c r="E110" s="8" t="s">
        <v>259</v>
      </c>
      <c r="F110" s="53">
        <v>150</v>
      </c>
      <c r="G110" s="14" t="s">
        <v>363</v>
      </c>
      <c r="H110" s="15">
        <v>150</v>
      </c>
      <c r="I110" s="16" t="s">
        <v>36</v>
      </c>
    </row>
    <row r="111" spans="1:9" ht="15" thickBot="1" x14ac:dyDescent="0.35">
      <c r="A111" s="35"/>
      <c r="B111" s="36"/>
      <c r="C111" s="36"/>
      <c r="D111" s="36"/>
      <c r="E111" s="9"/>
      <c r="F111" s="57"/>
      <c r="G111" s="10"/>
      <c r="H111" s="11"/>
      <c r="I111" s="12" t="s">
        <v>13</v>
      </c>
    </row>
    <row r="112" spans="1:9" ht="15" thickBot="1" x14ac:dyDescent="0.35">
      <c r="A112" s="13" t="s">
        <v>260</v>
      </c>
      <c r="B112" s="7" t="s">
        <v>9</v>
      </c>
      <c r="C112" s="8" t="s">
        <v>261</v>
      </c>
      <c r="D112" s="8" t="s">
        <v>15</v>
      </c>
      <c r="E112" s="8" t="s">
        <v>262</v>
      </c>
      <c r="F112" s="53" t="s">
        <v>23</v>
      </c>
      <c r="G112" s="14">
        <v>500</v>
      </c>
      <c r="H112" s="15"/>
      <c r="I112" s="19" t="s">
        <v>24</v>
      </c>
    </row>
    <row r="113" spans="1:9" ht="15" thickBot="1" x14ac:dyDescent="0.35">
      <c r="A113" s="56" t="s">
        <v>263</v>
      </c>
      <c r="B113" s="7" t="s">
        <v>264</v>
      </c>
      <c r="C113" s="8" t="s">
        <v>265</v>
      </c>
      <c r="D113" s="8" t="s">
        <v>11</v>
      </c>
      <c r="E113" s="8" t="s">
        <v>215</v>
      </c>
      <c r="F113" s="53">
        <v>200</v>
      </c>
      <c r="G113" s="14">
        <v>200</v>
      </c>
      <c r="H113" s="15"/>
      <c r="I113" s="25" t="s">
        <v>13</v>
      </c>
    </row>
    <row r="114" spans="1:9" ht="15" thickBot="1" x14ac:dyDescent="0.35">
      <c r="A114" s="13" t="s">
        <v>266</v>
      </c>
      <c r="B114" s="7" t="s">
        <v>264</v>
      </c>
      <c r="C114" s="8" t="s">
        <v>267</v>
      </c>
      <c r="D114" s="8" t="s">
        <v>11</v>
      </c>
      <c r="E114" s="8" t="s">
        <v>16</v>
      </c>
      <c r="F114" s="53">
        <v>150</v>
      </c>
      <c r="G114" s="14">
        <v>150</v>
      </c>
      <c r="H114" s="15"/>
      <c r="I114" s="12" t="s">
        <v>48</v>
      </c>
    </row>
    <row r="115" spans="1:9" ht="15" thickBot="1" x14ac:dyDescent="0.35">
      <c r="A115" s="6" t="s">
        <v>268</v>
      </c>
      <c r="B115" s="7" t="s">
        <v>184</v>
      </c>
      <c r="C115" s="9"/>
      <c r="D115" s="8" t="s">
        <v>269</v>
      </c>
      <c r="E115" s="9"/>
      <c r="F115" s="52" t="s">
        <v>12</v>
      </c>
      <c r="G115" s="10"/>
      <c r="H115" s="11"/>
      <c r="I115" s="12" t="s">
        <v>13</v>
      </c>
    </row>
    <row r="116" spans="1:9" ht="15" thickBot="1" x14ac:dyDescent="0.35">
      <c r="A116" s="6" t="s">
        <v>270</v>
      </c>
      <c r="B116" s="7" t="s">
        <v>184</v>
      </c>
      <c r="C116" s="8" t="s">
        <v>271</v>
      </c>
      <c r="D116" s="8" t="s">
        <v>50</v>
      </c>
      <c r="E116" s="8" t="s">
        <v>56</v>
      </c>
      <c r="F116" s="53">
        <v>165</v>
      </c>
      <c r="G116" s="14">
        <v>1650</v>
      </c>
      <c r="H116" s="15"/>
      <c r="I116" s="16" t="s">
        <v>36</v>
      </c>
    </row>
    <row r="117" spans="1:9" ht="15" thickBot="1" x14ac:dyDescent="0.35">
      <c r="A117" s="13" t="s">
        <v>272</v>
      </c>
      <c r="B117" s="7" t="s">
        <v>203</v>
      </c>
      <c r="C117" s="8" t="s">
        <v>273</v>
      </c>
      <c r="D117" s="8" t="s">
        <v>11</v>
      </c>
      <c r="E117" s="8" t="s">
        <v>274</v>
      </c>
      <c r="F117" s="53">
        <v>240</v>
      </c>
      <c r="G117" s="14">
        <v>720</v>
      </c>
      <c r="H117" s="22"/>
      <c r="I117" s="16" t="s">
        <v>36</v>
      </c>
    </row>
    <row r="118" spans="1:9" ht="15" thickBot="1" x14ac:dyDescent="0.35">
      <c r="A118" s="6" t="s">
        <v>275</v>
      </c>
      <c r="B118" s="7" t="s">
        <v>276</v>
      </c>
      <c r="C118" s="8" t="s">
        <v>277</v>
      </c>
      <c r="D118" s="8" t="s">
        <v>11</v>
      </c>
      <c r="E118" s="9"/>
      <c r="F118" s="52" t="s">
        <v>12</v>
      </c>
      <c r="G118" s="10"/>
      <c r="H118" s="11"/>
      <c r="I118" s="12" t="s">
        <v>13</v>
      </c>
    </row>
    <row r="119" spans="1:9" ht="15" thickBot="1" x14ac:dyDescent="0.35">
      <c r="A119" s="13" t="s">
        <v>278</v>
      </c>
      <c r="B119" s="7" t="s">
        <v>276</v>
      </c>
      <c r="C119" s="8" t="s">
        <v>277</v>
      </c>
      <c r="D119" s="8" t="s">
        <v>11</v>
      </c>
      <c r="E119" s="8" t="s">
        <v>279</v>
      </c>
      <c r="F119" s="53">
        <v>355</v>
      </c>
      <c r="G119" s="14" t="s">
        <v>363</v>
      </c>
      <c r="H119" s="15">
        <v>0</v>
      </c>
      <c r="I119" s="25" t="s">
        <v>33</v>
      </c>
    </row>
    <row r="120" spans="1:9" ht="15" thickBot="1" x14ac:dyDescent="0.35">
      <c r="A120" s="6" t="s">
        <v>280</v>
      </c>
      <c r="B120" s="7" t="s">
        <v>213</v>
      </c>
      <c r="C120" s="8" t="s">
        <v>224</v>
      </c>
      <c r="D120" s="8" t="s">
        <v>15</v>
      </c>
      <c r="E120" s="9"/>
      <c r="F120" s="53" t="s">
        <v>12</v>
      </c>
      <c r="G120" s="10"/>
      <c r="H120" s="22">
        <v>150</v>
      </c>
      <c r="I120" s="28" t="s">
        <v>373</v>
      </c>
    </row>
    <row r="121" spans="1:9" ht="15" thickBot="1" x14ac:dyDescent="0.35">
      <c r="A121" s="21" t="s">
        <v>282</v>
      </c>
      <c r="B121" s="7" t="s">
        <v>118</v>
      </c>
      <c r="C121" s="8" t="s">
        <v>283</v>
      </c>
      <c r="D121" s="8" t="s">
        <v>11</v>
      </c>
      <c r="E121" s="37" t="s">
        <v>284</v>
      </c>
      <c r="F121" s="52">
        <v>80</v>
      </c>
      <c r="G121" s="10">
        <v>1040</v>
      </c>
      <c r="H121" s="11"/>
      <c r="I121" s="12" t="s">
        <v>285</v>
      </c>
    </row>
    <row r="122" spans="1:9" ht="15" thickBot="1" x14ac:dyDescent="0.35">
      <c r="A122" s="21" t="s">
        <v>286</v>
      </c>
      <c r="B122" s="7" t="s">
        <v>118</v>
      </c>
      <c r="C122" s="8" t="s">
        <v>283</v>
      </c>
      <c r="D122" s="8" t="s">
        <v>287</v>
      </c>
      <c r="E122" s="37" t="s">
        <v>239</v>
      </c>
      <c r="F122" s="52">
        <v>300</v>
      </c>
      <c r="G122" s="10"/>
      <c r="H122" s="22"/>
      <c r="I122" s="12" t="s">
        <v>48</v>
      </c>
    </row>
    <row r="123" spans="1:9" ht="15" thickBot="1" x14ac:dyDescent="0.35">
      <c r="A123" s="6" t="s">
        <v>288</v>
      </c>
      <c r="B123" s="7" t="s">
        <v>247</v>
      </c>
      <c r="C123" s="8" t="s">
        <v>248</v>
      </c>
      <c r="D123" s="8" t="s">
        <v>11</v>
      </c>
      <c r="E123" s="9"/>
      <c r="F123" s="52" t="s">
        <v>12</v>
      </c>
      <c r="G123" s="10"/>
      <c r="H123" s="11"/>
      <c r="I123" s="12" t="s">
        <v>13</v>
      </c>
    </row>
    <row r="124" spans="1:9" ht="15" thickBot="1" x14ac:dyDescent="0.35">
      <c r="A124" s="13" t="s">
        <v>289</v>
      </c>
      <c r="B124" s="7" t="s">
        <v>213</v>
      </c>
      <c r="C124" s="8" t="s">
        <v>214</v>
      </c>
      <c r="D124" s="8" t="s">
        <v>50</v>
      </c>
      <c r="E124" s="8" t="s">
        <v>290</v>
      </c>
      <c r="F124" s="53">
        <v>150</v>
      </c>
      <c r="G124" s="14" t="s">
        <v>363</v>
      </c>
      <c r="H124" s="15">
        <v>150</v>
      </c>
      <c r="I124" s="32" t="s">
        <v>169</v>
      </c>
    </row>
    <row r="125" spans="1:9" ht="15" thickBot="1" x14ac:dyDescent="0.35">
      <c r="A125" s="30"/>
      <c r="B125" s="9"/>
      <c r="C125" s="9"/>
      <c r="D125" s="9"/>
      <c r="E125" s="9"/>
      <c r="F125" s="61"/>
      <c r="G125" s="10"/>
      <c r="H125" s="11"/>
      <c r="I125" s="12" t="s">
        <v>13</v>
      </c>
    </row>
    <row r="126" spans="1:9" ht="15" thickBot="1" x14ac:dyDescent="0.35">
      <c r="A126" s="13" t="s">
        <v>291</v>
      </c>
      <c r="B126" s="7" t="s">
        <v>247</v>
      </c>
      <c r="C126" s="8" t="s">
        <v>292</v>
      </c>
      <c r="D126" s="8" t="s">
        <v>205</v>
      </c>
      <c r="E126" s="8" t="s">
        <v>293</v>
      </c>
      <c r="F126" s="53">
        <v>270</v>
      </c>
      <c r="G126" s="14">
        <v>680</v>
      </c>
      <c r="H126" s="15">
        <v>400</v>
      </c>
      <c r="I126" s="20" t="s">
        <v>28</v>
      </c>
    </row>
    <row r="127" spans="1:9" ht="15" thickBot="1" x14ac:dyDescent="0.35">
      <c r="A127" s="13" t="s">
        <v>294</v>
      </c>
      <c r="B127" s="7" t="s">
        <v>247</v>
      </c>
      <c r="C127" s="8" t="s">
        <v>292</v>
      </c>
      <c r="D127" s="8" t="s">
        <v>205</v>
      </c>
      <c r="E127" s="8" t="s">
        <v>295</v>
      </c>
      <c r="F127" s="53">
        <v>250</v>
      </c>
      <c r="G127" s="14">
        <v>2210</v>
      </c>
      <c r="H127" s="22"/>
      <c r="I127" s="27" t="s">
        <v>17</v>
      </c>
    </row>
    <row r="128" spans="1:9" ht="15" thickBot="1" x14ac:dyDescent="0.35">
      <c r="A128" s="13" t="s">
        <v>296</v>
      </c>
      <c r="B128" s="7" t="s">
        <v>247</v>
      </c>
      <c r="C128" s="8" t="s">
        <v>292</v>
      </c>
      <c r="D128" s="8" t="s">
        <v>205</v>
      </c>
      <c r="E128" s="8" t="s">
        <v>297</v>
      </c>
      <c r="F128" s="53">
        <v>250</v>
      </c>
      <c r="G128" s="14">
        <v>500</v>
      </c>
      <c r="H128" s="15">
        <v>800</v>
      </c>
      <c r="I128" s="27" t="s">
        <v>17</v>
      </c>
    </row>
    <row r="129" spans="1:9" ht="15" thickBot="1" x14ac:dyDescent="0.35">
      <c r="A129" s="13" t="s">
        <v>298</v>
      </c>
      <c r="B129" s="7" t="s">
        <v>247</v>
      </c>
      <c r="C129" s="8" t="s">
        <v>299</v>
      </c>
      <c r="D129" s="8" t="s">
        <v>11</v>
      </c>
      <c r="E129" s="8" t="s">
        <v>300</v>
      </c>
      <c r="F129" s="53">
        <v>430</v>
      </c>
      <c r="G129" s="14">
        <v>3525</v>
      </c>
      <c r="H129" s="15">
        <v>430</v>
      </c>
      <c r="I129" s="27" t="s">
        <v>17</v>
      </c>
    </row>
    <row r="130" spans="1:9" ht="15" thickBot="1" x14ac:dyDescent="0.35">
      <c r="A130" s="13" t="s">
        <v>301</v>
      </c>
      <c r="B130" s="7" t="s">
        <v>247</v>
      </c>
      <c r="C130" s="8" t="s">
        <v>299</v>
      </c>
      <c r="D130" s="8" t="s">
        <v>11</v>
      </c>
      <c r="E130" s="8" t="s">
        <v>302</v>
      </c>
      <c r="F130" s="53">
        <v>430</v>
      </c>
      <c r="G130" s="14">
        <v>4168.57</v>
      </c>
      <c r="H130" s="15"/>
      <c r="I130" s="27" t="s">
        <v>17</v>
      </c>
    </row>
    <row r="131" spans="1:9" ht="15" thickBot="1" x14ac:dyDescent="0.35">
      <c r="A131" s="13" t="s">
        <v>303</v>
      </c>
      <c r="B131" s="7" t="s">
        <v>247</v>
      </c>
      <c r="C131" s="8" t="s">
        <v>299</v>
      </c>
      <c r="D131" s="8" t="s">
        <v>11</v>
      </c>
      <c r="E131" s="8" t="s">
        <v>304</v>
      </c>
      <c r="F131" s="53">
        <v>410</v>
      </c>
      <c r="G131" s="14">
        <v>1640</v>
      </c>
      <c r="H131" s="22">
        <v>2800</v>
      </c>
      <c r="I131" s="27" t="s">
        <v>17</v>
      </c>
    </row>
    <row r="132" spans="1:9" ht="15" thickBot="1" x14ac:dyDescent="0.35">
      <c r="A132" s="13" t="s">
        <v>305</v>
      </c>
      <c r="B132" s="7" t="s">
        <v>247</v>
      </c>
      <c r="C132" s="8" t="s">
        <v>299</v>
      </c>
      <c r="D132" s="8" t="s">
        <v>152</v>
      </c>
      <c r="E132" s="9" t="s">
        <v>306</v>
      </c>
      <c r="F132" s="53">
        <v>400</v>
      </c>
      <c r="G132" s="14" t="s">
        <v>363</v>
      </c>
      <c r="H132" s="15">
        <v>400</v>
      </c>
      <c r="I132" s="27" t="s">
        <v>17</v>
      </c>
    </row>
    <row r="133" spans="1:9" ht="15" thickBot="1" x14ac:dyDescent="0.35">
      <c r="A133" s="13" t="s">
        <v>307</v>
      </c>
      <c r="B133" s="7" t="s">
        <v>247</v>
      </c>
      <c r="C133" s="8" t="s">
        <v>292</v>
      </c>
      <c r="D133" s="8" t="s">
        <v>50</v>
      </c>
      <c r="E133" s="9" t="s">
        <v>308</v>
      </c>
      <c r="F133" s="53">
        <v>260</v>
      </c>
      <c r="G133" s="10" t="s">
        <v>363</v>
      </c>
      <c r="H133" s="15">
        <v>0</v>
      </c>
      <c r="I133" s="27" t="s">
        <v>169</v>
      </c>
    </row>
    <row r="134" spans="1:9" ht="15" thickBot="1" x14ac:dyDescent="0.35">
      <c r="A134" s="13" t="s">
        <v>309</v>
      </c>
      <c r="B134" s="7" t="s">
        <v>247</v>
      </c>
      <c r="C134" s="8" t="s">
        <v>310</v>
      </c>
      <c r="D134" s="8" t="s">
        <v>54</v>
      </c>
      <c r="E134" s="9" t="s">
        <v>374</v>
      </c>
      <c r="F134" s="53">
        <v>340</v>
      </c>
      <c r="G134" s="10" t="s">
        <v>363</v>
      </c>
      <c r="H134" s="15">
        <v>840</v>
      </c>
      <c r="I134" s="27" t="s">
        <v>20</v>
      </c>
    </row>
    <row r="135" spans="1:9" ht="15" thickBot="1" x14ac:dyDescent="0.35">
      <c r="A135" s="21" t="s">
        <v>311</v>
      </c>
      <c r="B135" s="7" t="s">
        <v>247</v>
      </c>
      <c r="C135" s="8" t="s">
        <v>292</v>
      </c>
      <c r="D135" s="8" t="s">
        <v>54</v>
      </c>
      <c r="E135" s="8" t="s">
        <v>312</v>
      </c>
      <c r="F135" s="53">
        <v>270</v>
      </c>
      <c r="G135" s="14"/>
      <c r="H135" s="15"/>
      <c r="I135" s="32" t="s">
        <v>169</v>
      </c>
    </row>
    <row r="136" spans="1:9" ht="15" thickBot="1" x14ac:dyDescent="0.35">
      <c r="A136" s="13" t="s">
        <v>313</v>
      </c>
      <c r="B136" s="7" t="s">
        <v>314</v>
      </c>
      <c r="C136" s="8" t="s">
        <v>157</v>
      </c>
      <c r="D136" s="8" t="s">
        <v>315</v>
      </c>
      <c r="E136" s="8" t="s">
        <v>316</v>
      </c>
      <c r="F136" s="53">
        <v>330</v>
      </c>
      <c r="G136" s="14" t="s">
        <v>363</v>
      </c>
      <c r="H136" s="15">
        <v>330</v>
      </c>
      <c r="I136" s="32" t="s">
        <v>48</v>
      </c>
    </row>
    <row r="137" spans="1:9" ht="15" thickBot="1" x14ac:dyDescent="0.35">
      <c r="A137" s="13" t="s">
        <v>317</v>
      </c>
      <c r="B137" s="7" t="s">
        <v>314</v>
      </c>
      <c r="C137" s="8" t="s">
        <v>157</v>
      </c>
      <c r="D137" s="8" t="s">
        <v>80</v>
      </c>
      <c r="E137" s="8" t="s">
        <v>318</v>
      </c>
      <c r="F137" s="53">
        <v>330</v>
      </c>
      <c r="G137" s="14">
        <v>810</v>
      </c>
      <c r="H137" s="15"/>
      <c r="I137" s="32" t="s">
        <v>169</v>
      </c>
    </row>
    <row r="138" spans="1:9" ht="15" thickBot="1" x14ac:dyDescent="0.35">
      <c r="A138" s="13" t="s">
        <v>319</v>
      </c>
      <c r="B138" s="7" t="s">
        <v>314</v>
      </c>
      <c r="C138" s="8" t="s">
        <v>157</v>
      </c>
      <c r="D138" s="8" t="s">
        <v>315</v>
      </c>
      <c r="E138" s="8" t="s">
        <v>320</v>
      </c>
      <c r="F138" s="53">
        <v>330</v>
      </c>
      <c r="G138" s="14">
        <v>4410</v>
      </c>
      <c r="H138" s="15"/>
      <c r="I138" s="32" t="s">
        <v>36</v>
      </c>
    </row>
    <row r="139" spans="1:9" ht="15" thickBot="1" x14ac:dyDescent="0.35">
      <c r="A139" s="13" t="s">
        <v>321</v>
      </c>
      <c r="B139" s="7" t="s">
        <v>314</v>
      </c>
      <c r="C139" s="8" t="s">
        <v>157</v>
      </c>
      <c r="D139" s="8" t="s">
        <v>80</v>
      </c>
      <c r="E139" s="8" t="s">
        <v>322</v>
      </c>
      <c r="F139" s="53">
        <v>330</v>
      </c>
      <c r="G139" s="14" t="s">
        <v>363</v>
      </c>
      <c r="H139" s="15">
        <v>330</v>
      </c>
      <c r="I139" s="32" t="s">
        <v>36</v>
      </c>
    </row>
    <row r="140" spans="1:9" ht="15" thickBot="1" x14ac:dyDescent="0.35">
      <c r="A140" s="13" t="s">
        <v>323</v>
      </c>
      <c r="B140" s="7" t="s">
        <v>314</v>
      </c>
      <c r="C140" s="8" t="s">
        <v>324</v>
      </c>
      <c r="D140" s="8" t="s">
        <v>54</v>
      </c>
      <c r="E140" s="8" t="s">
        <v>375</v>
      </c>
      <c r="F140" s="53">
        <v>420</v>
      </c>
      <c r="G140" s="14">
        <v>220</v>
      </c>
      <c r="H140" s="22">
        <f>820+200</f>
        <v>1020</v>
      </c>
      <c r="I140" s="24" t="s">
        <v>48</v>
      </c>
    </row>
    <row r="141" spans="1:9" ht="15" thickBot="1" x14ac:dyDescent="0.35">
      <c r="A141" s="13" t="s">
        <v>325</v>
      </c>
      <c r="B141" s="7" t="s">
        <v>314</v>
      </c>
      <c r="C141" s="8" t="s">
        <v>324</v>
      </c>
      <c r="D141" s="8" t="s">
        <v>80</v>
      </c>
      <c r="E141" s="8" t="s">
        <v>326</v>
      </c>
      <c r="F141" s="53">
        <v>375</v>
      </c>
      <c r="G141" s="14">
        <v>1525</v>
      </c>
      <c r="H141" s="11">
        <v>1200</v>
      </c>
      <c r="I141" s="25" t="s">
        <v>33</v>
      </c>
    </row>
    <row r="142" spans="1:9" ht="15" thickBot="1" x14ac:dyDescent="0.35">
      <c r="A142" s="13" t="s">
        <v>327</v>
      </c>
      <c r="B142" s="7" t="s">
        <v>328</v>
      </c>
      <c r="C142" s="8" t="s">
        <v>271</v>
      </c>
      <c r="D142" s="8" t="s">
        <v>54</v>
      </c>
      <c r="E142" s="8" t="s">
        <v>376</v>
      </c>
      <c r="F142" s="53">
        <v>310</v>
      </c>
      <c r="G142" s="14" t="s">
        <v>363</v>
      </c>
      <c r="H142" s="15">
        <v>310</v>
      </c>
      <c r="I142" s="32" t="s">
        <v>17</v>
      </c>
    </row>
    <row r="143" spans="1:9" ht="15" thickBot="1" x14ac:dyDescent="0.35">
      <c r="A143" s="13" t="s">
        <v>329</v>
      </c>
      <c r="B143" s="7" t="s">
        <v>314</v>
      </c>
      <c r="C143" s="8" t="s">
        <v>271</v>
      </c>
      <c r="D143" s="8" t="s">
        <v>80</v>
      </c>
      <c r="E143" s="8" t="s">
        <v>330</v>
      </c>
      <c r="F143" s="53">
        <v>310</v>
      </c>
      <c r="G143" s="14">
        <v>310</v>
      </c>
      <c r="H143" s="15">
        <v>310</v>
      </c>
      <c r="I143" s="17" t="s">
        <v>20</v>
      </c>
    </row>
    <row r="144" spans="1:9" ht="15" thickBot="1" x14ac:dyDescent="0.35">
      <c r="A144" s="13" t="s">
        <v>331</v>
      </c>
      <c r="B144" s="7" t="s">
        <v>184</v>
      </c>
      <c r="C144" s="8" t="s">
        <v>185</v>
      </c>
      <c r="D144" s="8" t="s">
        <v>50</v>
      </c>
      <c r="E144" s="8" t="s">
        <v>332</v>
      </c>
      <c r="F144" s="53" t="s">
        <v>23</v>
      </c>
      <c r="G144" s="14" t="s">
        <v>363</v>
      </c>
      <c r="H144" s="15">
        <v>1100</v>
      </c>
      <c r="I144" s="19" t="s">
        <v>24</v>
      </c>
    </row>
    <row r="145" spans="1:9" ht="15" thickBot="1" x14ac:dyDescent="0.35">
      <c r="A145" s="13" t="s">
        <v>333</v>
      </c>
      <c r="B145" s="7" t="s">
        <v>78</v>
      </c>
      <c r="C145" s="8" t="s">
        <v>244</v>
      </c>
      <c r="D145" s="8" t="s">
        <v>217</v>
      </c>
      <c r="E145" s="8" t="s">
        <v>334</v>
      </c>
      <c r="F145" s="53">
        <v>180</v>
      </c>
      <c r="G145" s="14" t="s">
        <v>363</v>
      </c>
      <c r="H145" s="15">
        <v>180</v>
      </c>
      <c r="I145" s="17" t="s">
        <v>20</v>
      </c>
    </row>
    <row r="146" spans="1:9" ht="15" thickBot="1" x14ac:dyDescent="0.35">
      <c r="A146" s="13" t="s">
        <v>335</v>
      </c>
      <c r="B146" s="7" t="s">
        <v>78</v>
      </c>
      <c r="C146" s="8" t="s">
        <v>244</v>
      </c>
      <c r="D146" s="8" t="s">
        <v>80</v>
      </c>
      <c r="E146" s="8" t="s">
        <v>336</v>
      </c>
      <c r="F146" s="53">
        <v>150</v>
      </c>
      <c r="G146" s="14" t="s">
        <v>363</v>
      </c>
      <c r="H146" s="15">
        <v>300</v>
      </c>
      <c r="I146" s="32" t="s">
        <v>169</v>
      </c>
    </row>
    <row r="147" spans="1:9" ht="15" thickBot="1" x14ac:dyDescent="0.35">
      <c r="A147" s="13" t="s">
        <v>337</v>
      </c>
      <c r="B147" s="7" t="s">
        <v>338</v>
      </c>
      <c r="C147" s="8" t="s">
        <v>339</v>
      </c>
      <c r="D147" s="8" t="s">
        <v>50</v>
      </c>
      <c r="E147" s="8" t="s">
        <v>340</v>
      </c>
      <c r="F147" s="53">
        <v>190</v>
      </c>
      <c r="G147" s="14">
        <v>440</v>
      </c>
      <c r="H147" s="22"/>
      <c r="I147" s="20" t="s">
        <v>28</v>
      </c>
    </row>
    <row r="148" spans="1:9" ht="15" thickBot="1" x14ac:dyDescent="0.35">
      <c r="A148" s="13" t="s">
        <v>341</v>
      </c>
      <c r="B148" s="7" t="s">
        <v>338</v>
      </c>
      <c r="C148" s="9"/>
      <c r="D148" s="8" t="s">
        <v>11</v>
      </c>
      <c r="E148" s="9" t="s">
        <v>281</v>
      </c>
      <c r="F148" s="52" t="s">
        <v>23</v>
      </c>
      <c r="G148" s="10">
        <v>4000</v>
      </c>
      <c r="H148" s="22"/>
      <c r="I148" s="19" t="s">
        <v>24</v>
      </c>
    </row>
    <row r="149" spans="1:9" ht="15" thickBot="1" x14ac:dyDescent="0.35">
      <c r="A149" s="13" t="s">
        <v>342</v>
      </c>
      <c r="B149" s="7" t="s">
        <v>78</v>
      </c>
      <c r="C149" s="8" t="s">
        <v>99</v>
      </c>
      <c r="D149" s="8" t="s">
        <v>11</v>
      </c>
      <c r="E149" s="8" t="s">
        <v>343</v>
      </c>
      <c r="F149" s="53">
        <v>320</v>
      </c>
      <c r="G149" s="14" t="s">
        <v>363</v>
      </c>
      <c r="H149" s="22">
        <v>320</v>
      </c>
      <c r="I149" s="17" t="s">
        <v>20</v>
      </c>
    </row>
    <row r="150" spans="1:9" ht="15" thickBot="1" x14ac:dyDescent="0.35">
      <c r="A150" s="13" t="s">
        <v>344</v>
      </c>
      <c r="B150" s="7" t="s">
        <v>345</v>
      </c>
      <c r="C150" s="8"/>
      <c r="D150" s="8" t="s">
        <v>11</v>
      </c>
      <c r="E150" s="8" t="s">
        <v>346</v>
      </c>
      <c r="F150" s="53">
        <v>500</v>
      </c>
      <c r="G150" s="14" t="s">
        <v>363</v>
      </c>
      <c r="H150" s="22">
        <v>500</v>
      </c>
      <c r="I150" s="17" t="s">
        <v>33</v>
      </c>
    </row>
    <row r="151" spans="1:9" ht="15" thickBot="1" x14ac:dyDescent="0.35">
      <c r="A151" s="13" t="s">
        <v>347</v>
      </c>
      <c r="B151" s="7" t="s">
        <v>345</v>
      </c>
      <c r="C151" s="8" t="s">
        <v>348</v>
      </c>
      <c r="D151" s="8" t="s">
        <v>50</v>
      </c>
      <c r="E151" s="8" t="s">
        <v>349</v>
      </c>
      <c r="F151" s="53">
        <v>285</v>
      </c>
      <c r="G151" s="14" t="s">
        <v>363</v>
      </c>
      <c r="H151" s="15">
        <v>285</v>
      </c>
      <c r="I151" s="25" t="s">
        <v>33</v>
      </c>
    </row>
    <row r="152" spans="1:9" ht="15" thickBot="1" x14ac:dyDescent="0.35">
      <c r="A152" s="13" t="s">
        <v>350</v>
      </c>
      <c r="B152" s="7" t="s">
        <v>78</v>
      </c>
      <c r="C152" s="8" t="s">
        <v>99</v>
      </c>
      <c r="D152" s="8" t="s">
        <v>11</v>
      </c>
      <c r="E152" s="8" t="s">
        <v>351</v>
      </c>
      <c r="F152" s="53">
        <v>300</v>
      </c>
      <c r="G152" s="14">
        <v>620</v>
      </c>
      <c r="H152" s="15"/>
      <c r="I152" s="25" t="s">
        <v>33</v>
      </c>
    </row>
    <row r="153" spans="1:9" ht="15" thickBot="1" x14ac:dyDescent="0.35">
      <c r="A153" s="6" t="s">
        <v>352</v>
      </c>
      <c r="B153" s="7" t="s">
        <v>78</v>
      </c>
      <c r="C153" s="8" t="s">
        <v>241</v>
      </c>
      <c r="D153" s="8" t="s">
        <v>50</v>
      </c>
      <c r="E153" s="8"/>
      <c r="F153" s="53">
        <v>240</v>
      </c>
      <c r="G153" s="14"/>
      <c r="H153" s="15">
        <v>480</v>
      </c>
      <c r="I153" s="32" t="s">
        <v>169</v>
      </c>
    </row>
    <row r="154" spans="1:9" ht="15" thickBot="1" x14ac:dyDescent="0.35">
      <c r="A154" s="38" t="s">
        <v>353</v>
      </c>
      <c r="B154" s="39" t="s">
        <v>78</v>
      </c>
      <c r="C154" s="9"/>
      <c r="D154" s="9" t="s">
        <v>15</v>
      </c>
      <c r="E154" s="8" t="s">
        <v>215</v>
      </c>
      <c r="F154" s="55" t="s">
        <v>69</v>
      </c>
      <c r="G154" s="10"/>
      <c r="H154" s="15"/>
      <c r="I154" s="40" t="s">
        <v>13</v>
      </c>
    </row>
    <row r="155" spans="1:9" ht="15" thickBot="1" x14ac:dyDescent="0.35">
      <c r="A155" s="41"/>
      <c r="B155" s="42" t="s">
        <v>354</v>
      </c>
      <c r="C155" s="43" t="s">
        <v>355</v>
      </c>
      <c r="D155" s="43" t="s">
        <v>356</v>
      </c>
      <c r="E155" s="12" t="s">
        <v>377</v>
      </c>
      <c r="F155" s="62"/>
      <c r="G155" s="63"/>
      <c r="H155" s="44"/>
      <c r="I155" s="12"/>
    </row>
    <row r="156" spans="1:9" ht="15" thickBot="1" x14ac:dyDescent="0.35">
      <c r="A156" s="35"/>
      <c r="B156" s="36"/>
      <c r="C156" s="36"/>
      <c r="D156" s="36"/>
      <c r="E156" s="45" t="s">
        <v>357</v>
      </c>
      <c r="F156" s="64">
        <v>42810</v>
      </c>
      <c r="G156" s="65"/>
      <c r="H156" s="46">
        <v>36070</v>
      </c>
      <c r="I156" s="12"/>
    </row>
    <row r="157" spans="1:9" ht="15" thickBot="1" x14ac:dyDescent="0.35">
      <c r="A157" s="33" t="s">
        <v>358</v>
      </c>
      <c r="B157" s="8" t="s">
        <v>123</v>
      </c>
      <c r="C157" s="8" t="s">
        <v>124</v>
      </c>
      <c r="D157" s="8" t="s">
        <v>11</v>
      </c>
      <c r="E157" s="8" t="s">
        <v>359</v>
      </c>
      <c r="F157" s="52">
        <v>340</v>
      </c>
      <c r="G157" s="14">
        <v>10918</v>
      </c>
      <c r="H157" s="47"/>
      <c r="I157" s="48" t="s">
        <v>13</v>
      </c>
    </row>
    <row r="158" spans="1:9" ht="15" thickBot="1" x14ac:dyDescent="0.35">
      <c r="A158" s="13" t="s">
        <v>360</v>
      </c>
      <c r="B158" s="8" t="s">
        <v>78</v>
      </c>
      <c r="C158" s="8" t="s">
        <v>99</v>
      </c>
      <c r="D158" s="8" t="s">
        <v>11</v>
      </c>
      <c r="E158" s="8" t="s">
        <v>361</v>
      </c>
      <c r="F158" s="52">
        <v>200</v>
      </c>
      <c r="G158" s="14">
        <v>4000</v>
      </c>
      <c r="H158" s="47"/>
      <c r="I158" s="48" t="s">
        <v>13</v>
      </c>
    </row>
    <row r="159" spans="1:9" ht="15" thickBot="1" x14ac:dyDescent="0.35">
      <c r="A159" s="30"/>
      <c r="B159" s="49" t="s">
        <v>9</v>
      </c>
      <c r="C159" s="49" t="s">
        <v>261</v>
      </c>
      <c r="D159" s="49" t="s">
        <v>15</v>
      </c>
      <c r="E159" s="9"/>
      <c r="F159" s="62"/>
      <c r="G159" s="63"/>
      <c r="H159" s="44"/>
      <c r="I15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Damini Varma</dc:creator>
  <cp:lastModifiedBy>Damini Varma</cp:lastModifiedBy>
  <dcterms:created xsi:type="dcterms:W3CDTF">2015-06-05T18:17:20Z</dcterms:created>
  <dcterms:modified xsi:type="dcterms:W3CDTF">2026-04-06T04:40:44Z</dcterms:modified>
</cp:coreProperties>
</file>